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vi\Desktop\Ravi\Mobitel Collection Portal\Reports\"/>
    </mc:Choice>
  </mc:AlternateContent>
  <xr:revisionPtr revIDLastSave="0" documentId="13_ncr:1_{9A3C7461-CECE-4CDB-B76A-DF23DA3907AB}" xr6:coauthVersionLast="47" xr6:coauthVersionMax="47" xr10:uidLastSave="{00000000-0000-0000-0000-000000000000}"/>
  <bookViews>
    <workbookView xWindow="-110" yWindow="-110" windowWidth="19420" windowHeight="10300" xr2:uid="{307D2AA4-7222-46C5-8E55-19CC6974E5D7}"/>
  </bookViews>
  <sheets>
    <sheet name="ARA" sheetId="3" r:id="rId1"/>
    <sheet name="YOO" sheetId="4" r:id="rId2"/>
    <sheet name="MOM" sheetId="5" r:id="rId3"/>
    <sheet name="ODB" sheetId="2" r:id="rId4"/>
    <sheet name="Sheet1" sheetId="6" r:id="rId5"/>
  </sheet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6" l="1"/>
  <c r="M5" i="3"/>
  <c r="J7" i="3"/>
  <c r="J8" i="3"/>
  <c r="I9" i="3"/>
  <c r="G10" i="3"/>
  <c r="H9" i="3"/>
  <c r="H8" i="3"/>
  <c r="H7" i="3"/>
  <c r="N6" i="3"/>
  <c r="H6" i="3"/>
  <c r="L6" i="3" s="1"/>
  <c r="N5" i="3"/>
  <c r="H5" i="3"/>
  <c r="I90" i="2"/>
  <c r="P89" i="2"/>
  <c r="J89" i="2"/>
  <c r="I88" i="2"/>
  <c r="P87" i="2"/>
  <c r="J87" i="2"/>
  <c r="I86" i="2"/>
  <c r="J85" i="2"/>
  <c r="J84" i="2"/>
  <c r="J83" i="2"/>
  <c r="J82" i="2"/>
  <c r="I81" i="2"/>
  <c r="P80" i="2"/>
  <c r="J80" i="2"/>
  <c r="I79" i="2"/>
  <c r="J78" i="2"/>
  <c r="I77" i="2"/>
  <c r="P76" i="2"/>
  <c r="J76" i="2"/>
  <c r="I75" i="2"/>
  <c r="P74" i="2"/>
  <c r="J74" i="2"/>
  <c r="I73" i="2"/>
  <c r="J72" i="2"/>
  <c r="I71" i="2"/>
  <c r="J70" i="2"/>
  <c r="I69" i="2"/>
  <c r="J68" i="2"/>
  <c r="I67" i="2"/>
  <c r="J66" i="2"/>
  <c r="I65" i="2"/>
  <c r="J64" i="2"/>
  <c r="J63" i="2"/>
  <c r="I62" i="2"/>
  <c r="J61" i="2"/>
  <c r="I60" i="2"/>
  <c r="J59" i="2"/>
  <c r="I58" i="2"/>
  <c r="J57" i="2"/>
  <c r="I56" i="2"/>
  <c r="J55" i="2"/>
  <c r="I54" i="2"/>
  <c r="J53" i="2"/>
  <c r="J52" i="2"/>
  <c r="I51" i="2"/>
  <c r="J50" i="2"/>
  <c r="J49" i="2"/>
  <c r="I48" i="2"/>
  <c r="J47" i="2"/>
  <c r="I46" i="2"/>
  <c r="P45" i="2"/>
  <c r="J45" i="2"/>
  <c r="J44" i="2"/>
  <c r="I43" i="2"/>
  <c r="J42" i="2"/>
  <c r="I41" i="2"/>
  <c r="J40" i="2"/>
  <c r="I39" i="2"/>
  <c r="J38" i="2"/>
  <c r="I37" i="2"/>
  <c r="J36" i="2"/>
  <c r="I35" i="2"/>
  <c r="J34" i="2"/>
  <c r="I33" i="2"/>
  <c r="J32" i="2"/>
  <c r="I31" i="2"/>
  <c r="P30" i="2"/>
  <c r="J30" i="2"/>
  <c r="I29" i="2"/>
  <c r="J28" i="2"/>
  <c r="J27" i="2"/>
  <c r="I26" i="2"/>
  <c r="J25" i="2"/>
  <c r="J24" i="2"/>
  <c r="J23" i="2"/>
  <c r="I22" i="2"/>
  <c r="J21" i="2"/>
  <c r="I20" i="2"/>
  <c r="P19" i="2"/>
  <c r="J19" i="2"/>
  <c r="I18" i="2"/>
  <c r="J17" i="2"/>
  <c r="I16" i="2"/>
  <c r="P15" i="2"/>
  <c r="J15" i="2"/>
  <c r="P14" i="2"/>
  <c r="J14" i="2"/>
  <c r="P13" i="2"/>
  <c r="J13" i="2"/>
  <c r="P12" i="2"/>
  <c r="J12" i="2"/>
  <c r="P11" i="2"/>
  <c r="J11" i="2"/>
  <c r="I10" i="2"/>
  <c r="J9" i="2"/>
  <c r="P8" i="2"/>
  <c r="J8" i="2"/>
  <c r="P7" i="2"/>
  <c r="P91" i="2" s="1"/>
  <c r="J7" i="2"/>
  <c r="I6" i="2"/>
  <c r="I91" i="2" s="1"/>
  <c r="J5" i="2"/>
  <c r="J4" i="2"/>
  <c r="M10" i="6"/>
  <c r="M6" i="6"/>
  <c r="M7" i="6"/>
  <c r="M8" i="6"/>
  <c r="M9" i="6"/>
  <c r="M5" i="6"/>
  <c r="L11" i="4" l="1"/>
</calcChain>
</file>

<file path=xl/sharedStrings.xml><?xml version="1.0" encoding="utf-8"?>
<sst xmlns="http://schemas.openxmlformats.org/spreadsheetml/2006/main" count="253" uniqueCount="170">
  <si>
    <t>ADM-wise, Division-wise, Team-wise, Sub-team-wise filters.</t>
  </si>
  <si>
    <t>90 Days” Must Appear as a Separate Column</t>
  </si>
  <si>
    <r>
      <t xml:space="preserve">Shows outstanding invoices broken down by </t>
    </r>
    <r>
      <rPr>
        <b/>
        <sz val="11"/>
        <color theme="1"/>
        <rFont val="Aptos Narrow"/>
        <family val="2"/>
        <scheme val="minor"/>
      </rPr>
      <t>financial year</t>
    </r>
  </si>
  <si>
    <t>(2020, 2021, 2022, 2023, 2024, 2025).</t>
  </si>
  <si>
    <t>Shows invoice-level details</t>
  </si>
  <si>
    <t>Month-wise Outstanding Report by Year Matrix</t>
  </si>
  <si>
    <t>ADM Nuwan Hasanka -591 Employee No 10469 - Exit AR Review Hale on 07.01.2025 ( Resignation given on 23rd November - Last Date of Employment 31st Dec 2024</t>
  </si>
  <si>
    <t>Document Date</t>
  </si>
  <si>
    <t>Reference</t>
  </si>
  <si>
    <t>Outstanding Amount</t>
  </si>
  <si>
    <t>Days arrears</t>
  </si>
  <si>
    <t>0 - 30</t>
  </si>
  <si>
    <t>31 - 60</t>
  </si>
  <si>
    <t xml:space="preserve">61 - 90 </t>
  </si>
  <si>
    <t>91 - 120</t>
  </si>
  <si>
    <t>…...</t>
  </si>
  <si>
    <t>Paid &amp; Post -Dted Cheque / Not deposited to bank ( Coillection)</t>
  </si>
  <si>
    <t>Chq no / Rcp No / depost date</t>
  </si>
  <si>
    <t>Comments / Notification</t>
  </si>
  <si>
    <t>Apex Enterprises</t>
  </si>
  <si>
    <t>Nuwan P</t>
  </si>
  <si>
    <r>
      <t>Cx agreed to pay Rs 10,000/= today -</t>
    </r>
    <r>
      <rPr>
        <sz val="10"/>
        <color rgb="FFFF0000"/>
        <rFont val="Wuerth Global"/>
        <charset val="128"/>
      </rPr>
      <t xml:space="preserve"> Letter</t>
    </r>
  </si>
  <si>
    <t xml:space="preserve"> 190014803  Total</t>
  </si>
  <si>
    <t>Aruna Motors</t>
  </si>
  <si>
    <t xml:space="preserve">Chq no Amout Deposid date </t>
  </si>
  <si>
    <t>Rcpt No 240914 DD 26.11.2024 Cash Rs 10,000/=</t>
  </si>
  <si>
    <t>Cx agreed to deposit Rs 10K today</t>
  </si>
  <si>
    <t xml:space="preserve"> 190015296  Total</t>
  </si>
  <si>
    <t>Bimal Motors</t>
  </si>
  <si>
    <t xml:space="preserve"> 190014581  Total</t>
  </si>
  <si>
    <t>Dissanayaka Motors</t>
  </si>
  <si>
    <t>Legal action to be taken</t>
  </si>
  <si>
    <t xml:space="preserve"> 190014955  Total</t>
  </si>
  <si>
    <t>Harindra Motors</t>
  </si>
  <si>
    <t xml:space="preserve">Cash amount </t>
  </si>
  <si>
    <t>Cash To be given to finance</t>
  </si>
  <si>
    <t xml:space="preserve"> 190015202  Total</t>
  </si>
  <si>
    <t>Hero Motors</t>
  </si>
  <si>
    <t>Letter - Phone did not Responded</t>
  </si>
  <si>
    <t xml:space="preserve"> 190014572  Total</t>
  </si>
  <si>
    <t>Indika Motors</t>
  </si>
  <si>
    <t/>
  </si>
  <si>
    <t>Cx agreed to pay &amp; wants to come of 09th January</t>
  </si>
  <si>
    <t xml:space="preserve"> 190010172  Total</t>
  </si>
  <si>
    <t>Jagath Motors</t>
  </si>
  <si>
    <t>Final reminder sent</t>
  </si>
  <si>
    <t xml:space="preserve"> 190014586  Total</t>
  </si>
  <si>
    <t>Jeyakumaran Motor Works (Pvt) Ltd</t>
  </si>
  <si>
    <t xml:space="preserve"> 190015864  Total</t>
  </si>
  <si>
    <t>Kaveesh Oil Mart</t>
  </si>
  <si>
    <t>unable contact via phone - Letter</t>
  </si>
  <si>
    <t xml:space="preserve"> 190015653  Total</t>
  </si>
  <si>
    <t>Keerthi Motors</t>
  </si>
  <si>
    <t>Returned Googs collected by ADM on 12.12.2024</t>
  </si>
  <si>
    <t xml:space="preserve"> 190007318  Total</t>
  </si>
  <si>
    <t>Kingstar Motors</t>
  </si>
  <si>
    <t>LOD sent</t>
  </si>
  <si>
    <t xml:space="preserve"> 190006904  Total</t>
  </si>
  <si>
    <t>Kumara Motors</t>
  </si>
  <si>
    <t>Will be paid on date …..../next week</t>
  </si>
  <si>
    <t xml:space="preserve"> 190015361  Total</t>
  </si>
  <si>
    <t>Minu Motors</t>
  </si>
  <si>
    <t xml:space="preserve"> 190005703  Total</t>
  </si>
  <si>
    <t>N. R. Motors</t>
  </si>
  <si>
    <t>Closed customer</t>
  </si>
  <si>
    <t xml:space="preserve"> 190002413  Total</t>
  </si>
  <si>
    <t>Cash to be handover to finance today</t>
  </si>
  <si>
    <t xml:space="preserve"> 190014097  Total</t>
  </si>
  <si>
    <t>New Asanka Motors</t>
  </si>
  <si>
    <t>Cx agreed to pay tomorrow</t>
  </si>
  <si>
    <t xml:space="preserve"> 190015702  Total</t>
  </si>
  <si>
    <t>Nishan Motors</t>
  </si>
  <si>
    <t>Legal action taken</t>
  </si>
  <si>
    <t xml:space="preserve"> 190004932  Total</t>
  </si>
  <si>
    <t>Pathum Motors</t>
  </si>
  <si>
    <t>Customer wants to returned</t>
  </si>
  <si>
    <t xml:space="preserve"> 190001551  Total</t>
  </si>
  <si>
    <t>Pradeepa Motors</t>
  </si>
  <si>
    <t>Discount to be cleared</t>
  </si>
  <si>
    <t xml:space="preserve"> 190014917  Total</t>
  </si>
  <si>
    <t>Prasad Motors</t>
  </si>
  <si>
    <t xml:space="preserve">Letter - Cx wanted to call him on Friday. </t>
  </si>
  <si>
    <t xml:space="preserve"> 190013554  Total</t>
  </si>
  <si>
    <t>Prasanna Motors</t>
  </si>
  <si>
    <t xml:space="preserve"> 190006214  Total</t>
  </si>
  <si>
    <t xml:space="preserve"> 190009701  Total</t>
  </si>
  <si>
    <t>Rathna Motors</t>
  </si>
  <si>
    <t>Short supply</t>
  </si>
  <si>
    <t>Cx agreed to pay</t>
  </si>
  <si>
    <t xml:space="preserve"> 190006941  Total</t>
  </si>
  <si>
    <t>Royal Motors</t>
  </si>
  <si>
    <t xml:space="preserve"> 190008463  Total</t>
  </si>
  <si>
    <t>Sakura Motors</t>
  </si>
  <si>
    <t>Confirmation collected</t>
  </si>
  <si>
    <t xml:space="preserve"> 190015337  Total</t>
  </si>
  <si>
    <t>Sanithma Traders</t>
  </si>
  <si>
    <t>Deduct from ADM</t>
  </si>
  <si>
    <t xml:space="preserve"> 190007999  Total</t>
  </si>
  <si>
    <t>Saranga Motors</t>
  </si>
  <si>
    <t xml:space="preserve"> 190014663  Total</t>
  </si>
  <si>
    <t>Scooter Home</t>
  </si>
  <si>
    <t xml:space="preserve"> 190014639  Total</t>
  </si>
  <si>
    <t>Senuthmee Bajaj Service Centre</t>
  </si>
  <si>
    <t xml:space="preserve"> 190009895  Total</t>
  </si>
  <si>
    <t>Shaidu Motors</t>
  </si>
  <si>
    <t xml:space="preserve"> 190015757  Total</t>
  </si>
  <si>
    <t>Skipper Motors</t>
  </si>
  <si>
    <t xml:space="preserve"> 190014094  Total</t>
  </si>
  <si>
    <t>Sudesh Motors</t>
  </si>
  <si>
    <t xml:space="preserve"> 190011841  Total</t>
  </si>
  <si>
    <t>Sunny Motors</t>
  </si>
  <si>
    <t>Binuri has not updated the recpt Yet</t>
  </si>
  <si>
    <t xml:space="preserve"> 190014789  Total</t>
  </si>
  <si>
    <t>Vista Motors</t>
  </si>
  <si>
    <t xml:space="preserve"> 190014470  Total</t>
  </si>
  <si>
    <t>Grand Total</t>
  </si>
  <si>
    <t>Customer No</t>
  </si>
  <si>
    <t>Customer Name</t>
  </si>
  <si>
    <t>ADM No</t>
  </si>
  <si>
    <t>ADM Name</t>
  </si>
  <si>
    <t>Doument  Amount</t>
  </si>
  <si>
    <t>The report should reflect figures only after the deposits have been made to the bank and the upload has been completed by the Finance Department.”</t>
  </si>
  <si>
    <t>All post-dated cheques collected, as well as any receipts not yet deposited to the bank as of the report generation date, must be shown in a separate column next to the relevant invoice. This is to ensure that any cheques currently on hand can be clearly identified and tracked at any given moment.”</t>
  </si>
  <si>
    <t>This report should be  generated and filtered by Customer wise ADM-wise, Team-wise, Sub-Team, and Division-wise</t>
  </si>
  <si>
    <t>A separate column should be included next to the invoice number to display backend comments or notifications. This section should capture remarks such as: ‘Customer agreed to pay next week, please visit’ or ‘Customer wants to return goods for this invoice as it was not ordered.’ This will enable better follow-up and coordination between Sales and Finance.”</t>
  </si>
  <si>
    <t>The report should  to be downloaded/exported to Excel format for further analysis and sharing.”</t>
  </si>
  <si>
    <r>
      <t xml:space="preserve">The report can be generated </t>
    </r>
    <r>
      <rPr>
        <b/>
        <sz val="11"/>
        <color theme="1"/>
        <rFont val="Aptos Narrow"/>
        <family val="2"/>
        <scheme val="minor"/>
      </rPr>
      <t>as at any chosen date</t>
    </r>
    <r>
      <rPr>
        <sz val="11"/>
        <color theme="1"/>
        <rFont val="Aptos Narrow"/>
        <family val="2"/>
        <scheme val="minor"/>
      </rPr>
      <t>, for example: 31.12.2025 or 31.03.2025</t>
    </r>
  </si>
  <si>
    <t>CX agreed to pay</t>
  </si>
  <si>
    <t>Cx wants to returned'</t>
  </si>
  <si>
    <t>Total</t>
  </si>
  <si>
    <t xml:space="preserve">Cutomer No </t>
  </si>
  <si>
    <t>Outstanding Statement as at 31.12.2024</t>
  </si>
  <si>
    <t>Customer Selection - individual customer /Multiple selected customers/Key customers (pre-defined group)/Group customers  (clusters /Branch/ subsidiries etc)</t>
  </si>
  <si>
    <t>Sum of Out Amount</t>
  </si>
  <si>
    <t>Column Labels</t>
  </si>
  <si>
    <t>2025</t>
  </si>
  <si>
    <t>Total Over 90 Days</t>
  </si>
  <si>
    <t>Nadeera Fernando</t>
  </si>
  <si>
    <t>Suren Peters</t>
  </si>
  <si>
    <t>Pubudu Dilshan</t>
  </si>
  <si>
    <t>Priyan Prabuddha</t>
  </si>
  <si>
    <t>Pramuditha Elapatha</t>
  </si>
  <si>
    <t>0- 60</t>
  </si>
  <si>
    <t>61-90</t>
  </si>
  <si>
    <t>91-120</t>
  </si>
  <si>
    <t>121- 150</t>
  </si>
  <si>
    <t>151-180</t>
  </si>
  <si>
    <t>181 - 300</t>
  </si>
  <si>
    <t>Over 300</t>
  </si>
  <si>
    <t>Shows outstanding invoices broken down by  its aging</t>
  </si>
  <si>
    <t xml:space="preserve">Aging Analyis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</si>
  <si>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</si>
  <si>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</si>
  <si>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</si>
  <si>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</si>
  <si>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</si>
  <si>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</si>
  <si>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</si>
  <si>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</si>
  <si>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</si>
  <si>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</si>
  <si>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Novemner</t>
  </si>
  <si>
    <t>December</t>
  </si>
  <si>
    <t>When a user selects or clicks on any total value (e.g., August  2025 Outstanding: Rs. 1,131,713.38), it  must drill down and show the  invoice-level breakdown for that total.”</t>
  </si>
  <si>
    <t>When a user selects or clicks on any total value, it  must drill down and show the  invoice-level breakdown for that total.”</t>
  </si>
  <si>
    <t>Accounts Receivable Aging (ARA)</t>
  </si>
  <si>
    <t>Year-on-Year Outstanding (YOO)</t>
  </si>
  <si>
    <t>Total Over 90 Days %</t>
  </si>
  <si>
    <t>Month-on-Month Outstanding -MOM</t>
  </si>
  <si>
    <t>Outstanding Days Breakdown - 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</si>
</sst>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5" formatCode="[$-409]d\-mmm\-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Wuerth Global"/>
      <charset val="128"/>
    </font>
    <font>
      <b/>
      <sz val="10"/>
      <name val="Wuerth Global"/>
      <charset val="128"/>
    </font>
    <font>
      <sz val="10"/>
      <name val="Wuerth Global"/>
      <charset val="128"/>
    </font>
    <font>
      <sz val="10"/>
      <color rgb="FFFF0000"/>
      <name val="Wuerth Global"/>
      <charset val="128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3" fontId="4" fillId="2" borderId="1" xfId="1" applyFont="1" applyFill="1" applyBorder="1" applyAlignment="1">
      <alignment vertical="top"/>
    </xf>
    <xf numFmtId="164" fontId="4" fillId="2" borderId="1" xfId="1" applyNumberFormat="1" applyFont="1" applyFill="1" applyBorder="1" applyAlignment="1">
      <alignment vertical="top"/>
    </xf>
    <xf numFmtId="43" fontId="4" fillId="2" borderId="1" xfId="1" applyFont="1" applyFill="1" applyBorder="1" applyAlignment="1">
      <alignment horizontal="center" vertical="top"/>
    </xf>
    <xf numFmtId="43" fontId="4" fillId="2" borderId="1" xfId="1" applyFont="1" applyFill="1" applyBorder="1" applyAlignment="1">
      <alignment vertical="top" wrapText="1"/>
    </xf>
    <xf numFmtId="0" fontId="4" fillId="2" borderId="1" xfId="1" applyNumberFormat="1" applyFont="1" applyFill="1" applyBorder="1" applyAlignment="1">
      <alignment horizontal="center" vertical="top" wrapText="1"/>
    </xf>
    <xf numFmtId="0" fontId="4" fillId="2" borderId="1" xfId="1" applyNumberFormat="1" applyFont="1" applyFill="1" applyBorder="1" applyAlignment="1">
      <alignment horizontal="center" vertical="top"/>
    </xf>
    <xf numFmtId="43" fontId="4" fillId="2" borderId="1" xfId="1" applyFont="1" applyFill="1" applyBorder="1" applyAlignment="1">
      <alignment horizontal="center" vertical="top" wrapText="1"/>
    </xf>
    <xf numFmtId="43" fontId="4" fillId="2" borderId="1" xfId="1" applyFont="1" applyFill="1" applyBorder="1" applyAlignment="1">
      <alignment horizontal="left" vertical="top" wrapText="1"/>
    </xf>
    <xf numFmtId="0" fontId="5" fillId="0" borderId="1" xfId="1" applyNumberFormat="1" applyFont="1" applyBorder="1" applyAlignment="1">
      <alignment vertical="top"/>
    </xf>
    <xf numFmtId="43" fontId="5" fillId="0" borderId="1" xfId="1" applyFont="1" applyBorder="1" applyAlignment="1">
      <alignment vertical="top"/>
    </xf>
    <xf numFmtId="164" fontId="5" fillId="0" borderId="1" xfId="1" applyNumberFormat="1" applyFont="1" applyBorder="1" applyAlignment="1">
      <alignment horizontal="right" vertical="top"/>
    </xf>
    <xf numFmtId="0" fontId="5" fillId="0" borderId="1" xfId="1" applyNumberFormat="1" applyFont="1" applyBorder="1" applyAlignment="1">
      <alignment horizontal="center" vertical="top"/>
    </xf>
    <xf numFmtId="43" fontId="5" fillId="0" borderId="1" xfId="1" applyFont="1" applyBorder="1" applyAlignment="1">
      <alignment horizontal="right" vertical="top"/>
    </xf>
    <xf numFmtId="43" fontId="6" fillId="0" borderId="1" xfId="1" applyFont="1" applyBorder="1" applyAlignment="1">
      <alignment horizontal="right" vertical="top"/>
    </xf>
    <xf numFmtId="43" fontId="5" fillId="0" borderId="2" xfId="1" applyFont="1" applyBorder="1" applyAlignment="1">
      <alignment horizontal="right" vertical="top"/>
    </xf>
    <xf numFmtId="0" fontId="5" fillId="0" borderId="2" xfId="1" applyNumberFormat="1" applyFont="1" applyBorder="1" applyAlignment="1">
      <alignment vertical="top"/>
    </xf>
    <xf numFmtId="43" fontId="5" fillId="0" borderId="2" xfId="1" applyFont="1" applyBorder="1" applyAlignment="1">
      <alignment vertical="top"/>
    </xf>
    <xf numFmtId="164" fontId="5" fillId="0" borderId="2" xfId="1" applyNumberFormat="1" applyFont="1" applyBorder="1" applyAlignment="1">
      <alignment horizontal="right" vertical="top"/>
    </xf>
    <xf numFmtId="0" fontId="5" fillId="0" borderId="2" xfId="1" applyNumberFormat="1" applyFont="1" applyBorder="1" applyAlignment="1">
      <alignment horizontal="center" vertical="top"/>
    </xf>
    <xf numFmtId="43" fontId="6" fillId="0" borderId="2" xfId="1" applyFont="1" applyBorder="1" applyAlignment="1">
      <alignment horizontal="right" vertical="top"/>
    </xf>
    <xf numFmtId="43" fontId="5" fillId="0" borderId="3" xfId="1" applyFont="1" applyBorder="1" applyAlignment="1">
      <alignment horizontal="right" vertical="top"/>
    </xf>
    <xf numFmtId="43" fontId="4" fillId="2" borderId="4" xfId="1" applyFont="1" applyFill="1" applyBorder="1" applyAlignment="1">
      <alignment vertical="top"/>
    </xf>
    <xf numFmtId="43" fontId="5" fillId="2" borderId="4" xfId="1" applyFont="1" applyFill="1" applyBorder="1" applyAlignment="1">
      <alignment vertical="top"/>
    </xf>
    <xf numFmtId="164" fontId="5" fillId="2" borderId="4" xfId="1" applyNumberFormat="1" applyFont="1" applyFill="1" applyBorder="1" applyAlignment="1">
      <alignment horizontal="right" vertical="top"/>
    </xf>
    <xf numFmtId="43" fontId="5" fillId="2" borderId="4" xfId="1" applyFont="1" applyFill="1" applyBorder="1" applyAlignment="1">
      <alignment horizontal="center" vertical="top"/>
    </xf>
    <xf numFmtId="43" fontId="5" fillId="2" borderId="4" xfId="1" applyFont="1" applyFill="1" applyBorder="1" applyAlignment="1">
      <alignment horizontal="right" vertical="top"/>
    </xf>
    <xf numFmtId="0" fontId="5" fillId="2" borderId="5" xfId="1" applyNumberFormat="1" applyFont="1" applyFill="1" applyBorder="1" applyAlignment="1">
      <alignment horizontal="center" vertical="top"/>
    </xf>
    <xf numFmtId="43" fontId="5" fillId="2" borderId="1" xfId="1" applyFont="1" applyFill="1" applyBorder="1" applyAlignment="1">
      <alignment horizontal="right" vertical="top"/>
    </xf>
    <xf numFmtId="43" fontId="5" fillId="2" borderId="1" xfId="1" applyFont="1" applyFill="1" applyBorder="1" applyAlignment="1">
      <alignment horizontal="left" vertical="top"/>
    </xf>
    <xf numFmtId="0" fontId="5" fillId="0" borderId="3" xfId="1" applyNumberFormat="1" applyFont="1" applyBorder="1" applyAlignment="1">
      <alignment vertical="top"/>
    </xf>
    <xf numFmtId="43" fontId="5" fillId="0" borderId="3" xfId="1" applyFont="1" applyBorder="1" applyAlignment="1">
      <alignment vertical="top"/>
    </xf>
    <xf numFmtId="164" fontId="5" fillId="0" borderId="3" xfId="1" applyNumberFormat="1" applyFont="1" applyBorder="1" applyAlignment="1">
      <alignment horizontal="right" vertical="top"/>
    </xf>
    <xf numFmtId="0" fontId="5" fillId="0" borderId="3" xfId="1" applyNumberFormat="1" applyFont="1" applyBorder="1" applyAlignment="1">
      <alignment horizontal="center" vertical="top"/>
    </xf>
    <xf numFmtId="43" fontId="6" fillId="0" borderId="1" xfId="1" applyFont="1" applyBorder="1" applyAlignment="1">
      <alignment horizontal="left" vertical="top"/>
    </xf>
    <xf numFmtId="43" fontId="5" fillId="0" borderId="1" xfId="1" applyFont="1" applyBorder="1" applyAlignment="1">
      <alignment horizontal="left" vertical="top"/>
    </xf>
    <xf numFmtId="0" fontId="5" fillId="0" borderId="6" xfId="1" applyNumberFormat="1" applyFont="1" applyBorder="1" applyAlignment="1">
      <alignment vertical="top"/>
    </xf>
    <xf numFmtId="43" fontId="5" fillId="0" borderId="6" xfId="1" applyFont="1" applyBorder="1" applyAlignment="1">
      <alignment vertical="top"/>
    </xf>
    <xf numFmtId="164" fontId="5" fillId="0" borderId="6" xfId="1" applyNumberFormat="1" applyFont="1" applyBorder="1" applyAlignment="1">
      <alignment horizontal="right" vertical="top"/>
    </xf>
    <xf numFmtId="0" fontId="5" fillId="0" borderId="6" xfId="1" applyNumberFormat="1" applyFont="1" applyBorder="1" applyAlignment="1">
      <alignment horizontal="center" vertical="top"/>
    </xf>
    <xf numFmtId="43" fontId="5" fillId="0" borderId="6" xfId="1" applyFont="1" applyBorder="1" applyAlignment="1">
      <alignment horizontal="right" vertical="top"/>
    </xf>
    <xf numFmtId="43" fontId="6" fillId="0" borderId="6" xfId="1" applyFont="1" applyBorder="1" applyAlignment="1">
      <alignment horizontal="right" vertical="top"/>
    </xf>
    <xf numFmtId="43" fontId="5" fillId="0" borderId="3" xfId="1" applyFont="1" applyBorder="1" applyAlignment="1">
      <alignment horizontal="center" vertical="top"/>
    </xf>
    <xf numFmtId="43" fontId="5" fillId="0" borderId="1" xfId="1" applyFont="1" applyBorder="1" applyAlignment="1">
      <alignment horizontal="center" vertical="top" wrapText="1"/>
    </xf>
    <xf numFmtId="0" fontId="5" fillId="0" borderId="5" xfId="1" applyNumberFormat="1" applyFont="1" applyBorder="1" applyAlignment="1">
      <alignment horizontal="center" vertical="top"/>
    </xf>
    <xf numFmtId="43" fontId="6" fillId="0" borderId="3" xfId="1" applyFont="1" applyBorder="1" applyAlignment="1">
      <alignment horizontal="right" vertical="top"/>
    </xf>
    <xf numFmtId="43" fontId="4" fillId="2" borderId="7" xfId="1" applyFont="1" applyFill="1" applyBorder="1" applyAlignment="1">
      <alignment vertical="top"/>
    </xf>
    <xf numFmtId="43" fontId="5" fillId="2" borderId="7" xfId="1" applyFont="1" applyFill="1" applyBorder="1" applyAlignment="1">
      <alignment vertical="top"/>
    </xf>
    <xf numFmtId="164" fontId="5" fillId="2" borderId="7" xfId="1" applyNumberFormat="1" applyFont="1" applyFill="1" applyBorder="1" applyAlignment="1">
      <alignment horizontal="right" vertical="top"/>
    </xf>
    <xf numFmtId="43" fontId="5" fillId="2" borderId="7" xfId="1" applyFont="1" applyFill="1" applyBorder="1" applyAlignment="1">
      <alignment horizontal="center" vertical="top"/>
    </xf>
    <xf numFmtId="43" fontId="5" fillId="2" borderId="7" xfId="1" applyFont="1" applyFill="1" applyBorder="1" applyAlignment="1">
      <alignment horizontal="right" vertical="top"/>
    </xf>
    <xf numFmtId="0" fontId="5" fillId="0" borderId="0" xfId="1" applyNumberFormat="1" applyFont="1" applyBorder="1" applyAlignment="1">
      <alignment horizontal="center" vertical="top"/>
    </xf>
    <xf numFmtId="43" fontId="5" fillId="0" borderId="0" xfId="1" applyFont="1" applyBorder="1" applyAlignment="1">
      <alignment horizontal="right" vertical="top"/>
    </xf>
    <xf numFmtId="43" fontId="5" fillId="0" borderId="0" xfId="1" applyFont="1" applyBorder="1" applyAlignment="1">
      <alignment horizontal="left" vertical="top"/>
    </xf>
    <xf numFmtId="43" fontId="4" fillId="3" borderId="4" xfId="1" applyFont="1" applyFill="1" applyBorder="1" applyAlignment="1">
      <alignment vertical="top"/>
    </xf>
    <xf numFmtId="43" fontId="5" fillId="3" borderId="4" xfId="1" applyFont="1" applyFill="1" applyBorder="1" applyAlignment="1">
      <alignment vertical="top"/>
    </xf>
    <xf numFmtId="164" fontId="5" fillId="3" borderId="4" xfId="1" applyNumberFormat="1" applyFont="1" applyFill="1" applyBorder="1" applyAlignment="1">
      <alignment horizontal="right" vertical="top"/>
    </xf>
    <xf numFmtId="43" fontId="5" fillId="3" borderId="4" xfId="1" applyFont="1" applyFill="1" applyBorder="1" applyAlignment="1">
      <alignment horizontal="center" vertical="top"/>
    </xf>
    <xf numFmtId="43" fontId="5" fillId="3" borderId="4" xfId="1" applyFont="1" applyFill="1" applyBorder="1" applyAlignment="1">
      <alignment horizontal="right" vertical="top"/>
    </xf>
    <xf numFmtId="0" fontId="5" fillId="3" borderId="4" xfId="1" applyNumberFormat="1" applyFont="1" applyFill="1" applyBorder="1" applyAlignment="1">
      <alignment horizontal="center" vertical="top"/>
    </xf>
    <xf numFmtId="43" fontId="5" fillId="3" borderId="4" xfId="1" applyFont="1" applyFill="1" applyBorder="1" applyAlignment="1">
      <alignment horizontal="left" vertical="top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/>
    </xf>
    <xf numFmtId="43" fontId="0" fillId="0" borderId="8" xfId="0" applyNumberFormat="1" applyBorder="1"/>
    <xf numFmtId="43" fontId="4" fillId="2" borderId="9" xfId="1" applyFont="1" applyFill="1" applyBorder="1" applyAlignment="1">
      <alignment vertical="center"/>
    </xf>
    <xf numFmtId="164" fontId="4" fillId="2" borderId="9" xfId="1" applyNumberFormat="1" applyFont="1" applyFill="1" applyBorder="1" applyAlignment="1">
      <alignment vertical="center"/>
    </xf>
    <xf numFmtId="43" fontId="4" fillId="2" borderId="9" xfId="1" applyFont="1" applyFill="1" applyBorder="1" applyAlignment="1">
      <alignment horizontal="center" vertical="center"/>
    </xf>
    <xf numFmtId="43" fontId="4" fillId="2" borderId="9" xfId="1" applyFont="1" applyFill="1" applyBorder="1" applyAlignment="1">
      <alignment vertical="center" wrapText="1"/>
    </xf>
    <xf numFmtId="0" fontId="4" fillId="2" borderId="9" xfId="1" applyNumberFormat="1" applyFont="1" applyFill="1" applyBorder="1" applyAlignment="1">
      <alignment horizontal="center" vertical="center" wrapText="1"/>
    </xf>
    <xf numFmtId="0" fontId="4" fillId="2" borderId="9" xfId="1" applyNumberFormat="1" applyFont="1" applyFill="1" applyBorder="1" applyAlignment="1">
      <alignment horizontal="center" vertical="center"/>
    </xf>
    <xf numFmtId="43" fontId="4" fillId="2" borderId="9" xfId="1" applyFont="1" applyFill="1" applyBorder="1" applyAlignment="1">
      <alignment horizontal="center" vertical="center" wrapText="1"/>
    </xf>
    <xf numFmtId="43" fontId="4" fillId="2" borderId="9" xfId="1" applyFont="1" applyFill="1" applyBorder="1" applyAlignment="1">
      <alignment horizontal="left" vertical="center" wrapText="1"/>
    </xf>
    <xf numFmtId="0" fontId="5" fillId="0" borderId="10" xfId="1" applyNumberFormat="1" applyFont="1" applyBorder="1" applyAlignment="1">
      <alignment vertical="top"/>
    </xf>
    <xf numFmtId="164" fontId="5" fillId="0" borderId="10" xfId="1" applyNumberFormat="1" applyFont="1" applyBorder="1" applyAlignment="1">
      <alignment horizontal="right" vertical="top"/>
    </xf>
    <xf numFmtId="0" fontId="5" fillId="0" borderId="10" xfId="1" applyNumberFormat="1" applyFont="1" applyBorder="1" applyAlignment="1">
      <alignment horizontal="center" vertical="top"/>
    </xf>
    <xf numFmtId="43" fontId="5" fillId="0" borderId="10" xfId="1" applyFont="1" applyBorder="1" applyAlignment="1">
      <alignment horizontal="right" vertical="top"/>
    </xf>
    <xf numFmtId="43" fontId="5" fillId="0" borderId="10" xfId="1" applyFont="1" applyBorder="1" applyAlignment="1">
      <alignment horizontal="center" vertical="top"/>
    </xf>
    <xf numFmtId="43" fontId="6" fillId="0" borderId="10" xfId="1" applyFont="1" applyBorder="1" applyAlignment="1">
      <alignment horizontal="left" vertical="top"/>
    </xf>
    <xf numFmtId="0" fontId="3" fillId="0" borderId="10" xfId="0" applyFont="1" applyBorder="1"/>
    <xf numFmtId="0" fontId="5" fillId="0" borderId="11" xfId="1" applyNumberFormat="1" applyFont="1" applyBorder="1" applyAlignment="1">
      <alignment vertical="top"/>
    </xf>
    <xf numFmtId="164" fontId="5" fillId="0" borderId="11" xfId="1" applyNumberFormat="1" applyFont="1" applyBorder="1" applyAlignment="1">
      <alignment horizontal="right" vertical="top"/>
    </xf>
    <xf numFmtId="0" fontId="5" fillId="0" borderId="11" xfId="1" applyNumberFormat="1" applyFont="1" applyBorder="1" applyAlignment="1">
      <alignment horizontal="center" vertical="top"/>
    </xf>
    <xf numFmtId="43" fontId="5" fillId="0" borderId="11" xfId="1" applyFont="1" applyBorder="1" applyAlignment="1">
      <alignment horizontal="right" vertical="top"/>
    </xf>
    <xf numFmtId="43" fontId="5" fillId="0" borderId="11" xfId="1" applyFont="1" applyBorder="1" applyAlignment="1">
      <alignment horizontal="center" vertical="top"/>
    </xf>
    <xf numFmtId="43" fontId="6" fillId="0" borderId="11" xfId="1" applyFont="1" applyBorder="1" applyAlignment="1">
      <alignment horizontal="left" vertical="top"/>
    </xf>
    <xf numFmtId="0" fontId="3" fillId="0" borderId="11" xfId="0" applyFont="1" applyBorder="1"/>
    <xf numFmtId="4" fontId="0" fillId="0" borderId="0" xfId="0" applyNumberFormat="1"/>
    <xf numFmtId="0" fontId="0" fillId="0" borderId="7" xfId="0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4" fontId="0" fillId="0" borderId="4" xfId="0" applyNumberFormat="1" applyBorder="1"/>
    <xf numFmtId="0" fontId="0" fillId="0" borderId="13" xfId="0" applyBorder="1" applyAlignment="1">
      <alignment horizontal="left"/>
    </xf>
    <xf numFmtId="0" fontId="0" fillId="0" borderId="13" xfId="0" applyBorder="1"/>
    <xf numFmtId="4" fontId="0" fillId="0" borderId="13" xfId="0" applyNumberFormat="1" applyBorder="1"/>
    <xf numFmtId="43" fontId="7" fillId="4" borderId="14" xfId="1" applyFont="1" applyFill="1" applyBorder="1"/>
    <xf numFmtId="0" fontId="0" fillId="0" borderId="7" xfId="0" pivotButton="1" applyBorder="1" applyAlignment="1">
      <alignment horizontal="center" vertical="center"/>
    </xf>
    <xf numFmtId="4" fontId="0" fillId="0" borderId="0" xfId="0" pivotButton="1" applyNumberFormat="1"/>
    <xf numFmtId="0" fontId="0" fillId="0" borderId="0" xfId="0" pivotButton="1"/>
    <xf numFmtId="0" fontId="0" fillId="0" borderId="4" xfId="0" applyBorder="1" applyAlignment="1">
      <alignment horizontal="left" vertical="top"/>
    </xf>
    <xf numFmtId="43" fontId="0" fillId="0" borderId="4" xfId="0" applyNumberFormat="1" applyBorder="1" applyAlignment="1">
      <alignment vertical="top"/>
    </xf>
    <xf numFmtId="0" fontId="7" fillId="4" borderId="0" xfId="0" applyFont="1" applyFill="1"/>
    <xf numFmtId="0" fontId="7" fillId="4" borderId="15" xfId="0" applyFont="1" applyFill="1" applyBorder="1"/>
    <xf numFmtId="0" fontId="7" fillId="4" borderId="12" xfId="0" applyFont="1" applyFill="1" applyBorder="1" applyAlignment="1">
      <alignment vertical="top"/>
    </xf>
    <xf numFmtId="0" fontId="7" fillId="4" borderId="16" xfId="0" applyFont="1" applyFill="1" applyBorder="1" applyAlignment="1">
      <alignment horizontal="left" vertical="top"/>
    </xf>
    <xf numFmtId="43" fontId="7" fillId="4" borderId="14" xfId="0" applyNumberFormat="1" applyFont="1" applyFill="1" applyBorder="1" applyAlignment="1">
      <alignment vertical="top"/>
    </xf>
    <xf numFmtId="43" fontId="5" fillId="0" borderId="2" xfId="1" applyFont="1" applyBorder="1" applyAlignment="1">
      <alignment horizontal="center" vertical="top" wrapText="1"/>
    </xf>
    <xf numFmtId="43" fontId="5" fillId="0" borderId="3" xfId="1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7" fillId="4" borderId="7" xfId="0" applyFont="1" applyFill="1" applyBorder="1" applyAlignment="1">
      <alignment horizontal="center" vertical="center" wrapText="1"/>
    </xf>
    <xf numFmtId="9" fontId="0" fillId="0" borderId="4" xfId="2" applyFont="1" applyBorder="1"/>
    <xf numFmtId="9" fontId="7" fillId="4" borderId="14" xfId="2" applyFont="1" applyFill="1" applyBorder="1"/>
  </cellXfs>
  <cellStyles count="3">
    <cellStyle name="Comma" xfId="1" builtinId="3"/>
    <cellStyle name="Normal" xfId="0" builtinId="0"/>
    <cellStyle name="Percent" xfId="2" builtinId="5"/>
  </cellStyles>
  <dxfs count="64">
    <dxf>
      <numFmt numFmtId="4" formatCode="#,##0.00"/>
    </dxf>
    <dxf>
      <numFmt numFmtId="4" formatCode="#,##0.0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OLD%20DATA/AR%20Meeting/ST%20Team/Suren%20Team%20AR%2019.11.2024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Velayudhan" refreshedDate="45615.914148611111" createdVersion="8" refreshedVersion="8" minRefreshableVersion="3" recordCount="3361" xr:uid="{D1954155-02BC-48F6-B856-5449F463FAE5}">
  <cacheSource type="worksheet">
    <worksheetSource ref="A2:S3363" sheet="Suren Team AR " r:id="rId2"/>
  </cacheSource>
  <cacheFields count="13">
    <cacheField name="Customer" numFmtId="0">
      <sharedItems/>
    </cacheField>
    <cacheField name="Name 1" numFmtId="0">
      <sharedItems/>
    </cacheField>
    <cacheField name="ADM" numFmtId="0">
      <sharedItems containsMixedTypes="1" containsNumber="1" containsInteger="1" minValue="409" maxValue="578" count="6">
        <n v="412"/>
        <n v="491"/>
        <n v="566"/>
        <n v="578"/>
        <n v="409"/>
        <s v=""/>
      </sharedItems>
    </cacheField>
    <cacheField name="ADM Name" numFmtId="0">
      <sharedItems count="6">
        <s v="Suren Peters"/>
        <s v="Pubudu Dilshan"/>
        <s v="Priyan Prabuddha"/>
        <s v="Pramuditha Elapatha"/>
        <s v="Nadeera Fernando"/>
        <s v=""/>
      </sharedItems>
    </cacheField>
    <cacheField name="Reference" numFmtId="0">
      <sharedItems/>
    </cacheField>
    <cacheField name="Document Date" numFmtId="165">
      <sharedItems containsNonDate="0" containsDate="1" containsString="0" containsBlank="1" minDate="2015-04-16T00:00:00" maxDate="2024-11-20T00:00:00"/>
    </cacheField>
    <cacheField name="M" numFmtId="0">
      <sharedItems containsString="0" containsBlank="1" containsNumber="1" containsInteger="1" minValue="1" maxValue="12"/>
    </cacheField>
    <cacheField name="YR" numFmtId="0">
      <sharedItems containsBlank="1" containsMixedTypes="1" containsNumber="1" containsInteger="1" minValue="2019" maxValue="2024" count="8">
        <n v="2023"/>
        <n v="2024"/>
        <s v="2015 ' 2018"/>
        <n v="2020"/>
        <n v="2021"/>
        <n v="2019"/>
        <n v="2022"/>
        <m/>
      </sharedItems>
    </cacheField>
    <cacheField name="Doc Amount" numFmtId="4">
      <sharedItems containsSemiMixedTypes="0" containsString="0" containsNumber="1" minValue="-309573" maxValue="21107198.120000001"/>
    </cacheField>
    <cacheField name="Out Amount" numFmtId="4">
      <sharedItems containsSemiMixedTypes="0" containsString="0" containsNumber="1" minValue="-309573" maxValue="15007406.73"/>
    </cacheField>
    <cacheField name="Days" numFmtId="0">
      <sharedItems containsSemiMixedTypes="0" containsString="0" containsNumber="1" containsInteger="1" minValue="0" maxValue="45615"/>
    </cacheField>
    <cacheField name="Days 90 &lt;" numFmtId="0">
      <sharedItems containsString="0" containsBlank="1" containsNumber="1" minValue="-190000" maxValue="1293516" count="1440">
        <n v="11270"/>
        <n v="91474"/>
        <n v="0.34"/>
        <m/>
        <n v="17250"/>
        <n v="-11532.5"/>
        <n v="-158"/>
        <n v="14209.98"/>
        <n v="15390"/>
        <n v="39082"/>
        <n v="53797"/>
        <n v="50220"/>
        <n v="32478"/>
        <n v="84726"/>
        <n v="14040"/>
        <n v="56713"/>
        <n v="36612"/>
        <n v="39852"/>
        <n v="22369"/>
        <n v="62532"/>
        <n v="31104"/>
        <n v="14580"/>
        <n v="58819"/>
        <n v="16848"/>
        <n v="55404"/>
        <n v="78961"/>
        <n v="-7776"/>
        <n v="-13223"/>
        <n v="-6534"/>
        <n v="-66231"/>
        <n v="3881"/>
        <n v="64570"/>
        <n v="27577"/>
        <n v="7080"/>
        <n v="56073"/>
        <n v="-13915"/>
        <n v="16063"/>
        <n v="69384"/>
        <n v="50000"/>
        <n v="27140"/>
        <n v="99999"/>
        <n v="500"/>
        <n v="2376"/>
        <n v="9012"/>
        <n v="-267.08999999999997"/>
        <n v="12154"/>
        <n v="115863"/>
        <n v="87113"/>
        <n v="72000"/>
        <n v="25896"/>
        <n v="10692"/>
        <n v="51192"/>
        <n v="8625"/>
        <n v="9775"/>
        <n v="14573"/>
        <n v="104428"/>
        <n v="59472"/>
        <n v="23541"/>
        <n v="34943"/>
        <n v="10030"/>
        <n v="-9331"/>
        <n v="-935.04"/>
        <n v="2599"/>
        <n v="2324.98"/>
        <n v="46992"/>
        <n v="39123"/>
        <n v="44850"/>
        <n v="26910"/>
        <n v="494.04"/>
        <n v="2484"/>
        <n v="3240.34"/>
        <n v="2065.6"/>
        <n v="56350"/>
        <n v="85100"/>
        <n v="122550"/>
        <n v="0.3"/>
        <n v="0.17"/>
        <n v="60180"/>
        <n v="35105"/>
        <n v="10915"/>
        <n v="7692"/>
        <n v="57348"/>
        <n v="68440"/>
        <n v="0.2"/>
        <n v="11505"/>
        <n v="87320"/>
        <n v="70210"/>
        <n v="27895"/>
        <n v="19647"/>
        <n v="14514"/>
        <n v="32745"/>
        <n v="13098"/>
        <n v="102660"/>
        <n v="70800"/>
        <n v="1293516"/>
        <n v="123617"/>
        <n v="36836"/>
        <n v="427302"/>
        <n v="-14904"/>
        <n v="6422"/>
        <n v="22745"/>
        <n v="4666"/>
        <n v="5184"/>
        <n v="15714"/>
        <n v="1231"/>
        <n v="23095"/>
        <n v="73689"/>
        <n v="46189"/>
        <n v="417450"/>
        <n v="66240"/>
        <n v="-88998.5"/>
        <n v="-14350.3"/>
        <n v="-34742"/>
        <n v="-155538"/>
        <n v="60490"/>
        <n v="391495"/>
        <n v="330"/>
        <n v="143451"/>
        <n v="95220"/>
        <n v="5060"/>
        <n v="19205"/>
        <n v="67620"/>
        <n v="155250"/>
        <n v="34742"/>
        <n v="4554"/>
        <n v="9108"/>
        <n v="358248"/>
        <n v="54050"/>
        <n v="104742"/>
        <n v="144038"/>
        <n v="24253.5"/>
        <n v="25530"/>
        <n v="48300"/>
        <n v="35420"/>
        <n v="62100"/>
        <n v="25875"/>
        <n v="310500"/>
        <n v="75969"/>
        <n v="80500"/>
        <n v="72450"/>
        <n v="227700"/>
        <n v="393011"/>
        <n v="72782"/>
        <n v="20414"/>
        <n v="191160"/>
        <n v="90058"/>
        <n v="74340"/>
        <n v="72216"/>
        <n v="65844"/>
        <n v="77526"/>
        <n v="104501"/>
        <n v="48852"/>
        <n v="118944"/>
        <n v="46728"/>
        <n v="96854"/>
        <n v="79013"/>
        <n v="47790"/>
        <n v="29736"/>
        <n v="93987"/>
        <n v="111298"/>
        <n v="31860"/>
        <n v="97421"/>
        <n v="141246"/>
        <n v="109988"/>
        <n v="118491"/>
        <n v="-5060"/>
        <n v="-25370"/>
        <n v="-356.01"/>
        <n v="-26951.4"/>
        <n v="-698.99"/>
        <n v="8673"/>
        <n v="991.2"/>
        <n v="-295.69"/>
        <n v="-3353"/>
        <n v="-13475.7"/>
        <n v="-57753"/>
        <n v="10984"/>
        <n v="4732.01"/>
        <n v="2799.6"/>
        <n v="8445"/>
        <n v="70380"/>
        <n v="8822.25"/>
        <n v="18414.150000000001"/>
        <n v="37170"/>
        <n v="10499.93"/>
        <n v="8260"/>
        <n v="2081.52"/>
        <n v="4163.04"/>
        <n v="16933"/>
        <n v="2081.5500000000002"/>
        <n v="18586"/>
        <n v="-2167"/>
        <n v="-702.35"/>
        <n v="-16619.72"/>
        <n v="-4974.5"/>
        <n v="-136.80000000000001"/>
        <n v="21424.9"/>
        <n v="183.9"/>
        <n v="24555"/>
        <n v="811"/>
        <n v="115000"/>
        <n v="29066"/>
        <n v="4974"/>
        <n v="563.20000000000005"/>
        <n v="31855"/>
        <n v="13981"/>
        <n v="5265"/>
        <n v="17809"/>
        <n v="12528"/>
        <n v="626.54999999999995"/>
        <n v="23803"/>
        <n v="53554"/>
        <n v="106272"/>
        <n v="40241"/>
        <n v="10530"/>
        <n v="28741"/>
        <n v="40500"/>
        <n v="7020"/>
        <n v="6350"/>
        <n v="9612"/>
        <n v="53473"/>
        <n v="12285"/>
        <n v="8262"/>
        <n v="16449"/>
        <n v="33729"/>
        <n v="35241"/>
        <n v="22869"/>
        <n v="40459"/>
        <n v="5443"/>
        <n v="59656"/>
        <n v="5670"/>
        <n v="6480"/>
        <n v="3672"/>
        <n v="-87696"/>
        <n v="10764"/>
        <n v="-17664.740000000002"/>
        <n v="10260"/>
        <n v="221280"/>
        <n v="90341"/>
        <n v="100067"/>
        <n v="-12960"/>
        <n v="13336"/>
        <n v="4800"/>
        <n v="-6372.96"/>
        <n v="7508.13"/>
        <n v="1038.45"/>
        <n v="-4666"/>
        <n v="-11088"/>
        <n v="-89229.85"/>
        <n v="8721"/>
        <n v="5832"/>
        <n v="22162"/>
        <n v="13068"/>
        <n v="7387"/>
        <n v="76443"/>
        <n v="19238"/>
        <n v="55521"/>
        <n v="19699"/>
        <n v="20520"/>
        <n v="68986"/>
        <n v="59041"/>
        <n v="67573"/>
        <n v="6156"/>
        <n v="71299"/>
        <n v="9286.14"/>
        <n v="54648"/>
        <n v="131100"/>
        <n v="45310"/>
        <n v="20545"/>
        <n v="19030.169999999998"/>
        <n v="108607"/>
        <n v="-29222"/>
        <n v="571"/>
        <n v="581"/>
        <n v="3965"/>
        <n v="11414.27"/>
        <n v="14493.54"/>
        <n v="13652.8"/>
        <n v="5050.57"/>
        <n v="2319.38"/>
        <n v="3964.8"/>
        <n v="520.38"/>
        <n v="7926.5"/>
        <n v="854.91"/>
        <n v="6136"/>
        <n v="3510.5"/>
        <n v="5088.16"/>
        <n v="26542.17"/>
        <n v="-45631"/>
        <n v="18054"/>
        <n v="3816.12"/>
        <n v="-150"/>
        <n v="4098"/>
        <n v="14762"/>
        <n v="4025"/>
        <n v="6"/>
        <n v="58924"/>
        <n v="86736"/>
        <n v="-86736"/>
        <n v="241"/>
        <n v="13973"/>
        <n v="-2639"/>
        <n v="8750"/>
        <n v="76176"/>
        <n v="8139"/>
        <n v="4658"/>
        <n v="-15525"/>
        <n v="122"/>
        <n v="21661"/>
        <n v="61030"/>
        <n v="979"/>
        <n v="11075"/>
        <n v="17543"/>
        <n v="134612"/>
        <n v="33984"/>
        <n v="17169"/>
        <n v="-483"/>
        <n v="19755"/>
        <n v="18630"/>
        <n v="650"/>
        <n v="50935"/>
        <n v="13248"/>
        <n v="7245"/>
        <n v="45192"/>
        <n v="12950"/>
        <n v="270"/>
        <n v="944"/>
        <n v="12478.5"/>
        <n v="7434"/>
        <n v="34385"/>
        <n v="56640"/>
        <n v="117"/>
        <n v="-20000"/>
        <n v="173"/>
        <n v="32285"/>
        <n v="6041"/>
        <n v="15576"/>
        <n v="2271"/>
        <n v="3998"/>
        <n v="38822"/>
        <n v="10663"/>
        <n v="14337"/>
        <n v="19004"/>
        <n v="1255"/>
        <n v="32915"/>
        <n v="0"/>
        <n v="114100"/>
        <n v="64900"/>
        <n v="113280"/>
        <n v="1728"/>
        <n v="17496"/>
        <n v="13193"/>
        <n v="35400"/>
        <n v="28320"/>
        <n v="25046"/>
        <n v="36581"/>
        <n v="24086"/>
        <n v="16536.98"/>
        <n v="-22452.9"/>
        <n v="14538"/>
        <n v="3627"/>
        <n v="1357"/>
        <n v="600"/>
        <n v="903"/>
        <n v="2822"/>
        <n v="27161"/>
        <n v="51047"/>
        <n v="-470.7"/>
        <n v="10062.5"/>
        <n v="4094.52"/>
        <n v="0.5"/>
        <n v="37760"/>
        <n v="1884"/>
        <n v="8208"/>
        <n v="17202"/>
        <n v="1004"/>
        <n v="222"/>
        <n v="4104"/>
        <n v="208.58"/>
        <n v="1976"/>
        <n v="13176"/>
        <n v="397.5"/>
        <n v="1070"/>
        <n v="200"/>
        <n v="551.6"/>
        <n v="32177"/>
        <n v="11035"/>
        <n v="-1149"/>
        <n v="20169"/>
        <n v="16748.27"/>
        <n v="36379.269999999997"/>
        <n v="5285.59"/>
        <n v="6438"/>
        <n v="8724"/>
        <n v="8496"/>
        <n v="2950"/>
        <n v="41772"/>
        <n v="-2073"/>
        <n v="6686"/>
        <n v="5750"/>
        <n v="11500"/>
        <n v="412"/>
        <n v="30680"/>
        <n v="1005"/>
        <n v="4394"/>
        <n v="1813"/>
        <n v="14160"/>
        <n v="17874"/>
        <n v="3400"/>
        <n v="14225"/>
        <n v="10508"/>
        <n v="36960"/>
        <n v="89163"/>
        <n v="6055"/>
        <n v="606"/>
        <n v="15778"/>
        <n v="6830"/>
        <n v="5686"/>
        <n v="15161"/>
        <n v="24599"/>
        <n v="561"/>
        <n v="25466"/>
        <n v="14203"/>
        <n v="21053"/>
        <n v="-254"/>
        <n v="-749"/>
        <n v="752"/>
        <n v="5023"/>
        <n v="16400"/>
        <n v="15525"/>
        <n v="57171"/>
        <n v="401436"/>
        <n v="2"/>
        <n v="383500"/>
        <n v="76523"/>
        <n v="41499"/>
        <n v="9912"/>
        <n v="5357"/>
        <n v="6728"/>
        <n v="49266"/>
        <n v="-253"/>
        <n v="22553"/>
        <n v="22451"/>
        <n v="6714"/>
        <n v="12139"/>
        <n v="5249"/>
        <n v="5520"/>
        <n v="849"/>
        <n v="8043"/>
        <n v="11328"/>
        <n v="1266"/>
        <n v="3693"/>
        <n v="148806"/>
        <n v="483"/>
        <n v="368"/>
        <n v="47723"/>
        <n v="11213"/>
        <n v="56609"/>
        <n v="24369"/>
        <n v="66458"/>
        <n v="4500"/>
        <n v="49590"/>
        <n v="212400"/>
        <n v="4366"/>
        <n v="159333"/>
        <n v="185000"/>
        <n v="217417"/>
        <n v="-135134"/>
        <n v="42943"/>
        <n v="43885"/>
        <n v="47365"/>
        <n v="12443"/>
        <n v="19912"/>
        <n v="39998"/>
        <n v="106342"/>
        <n v="15089"/>
        <n v="5485"/>
        <n v="24254"/>
        <n v="20200"/>
        <n v="6364"/>
        <n v="68251"/>
        <n v="1536"/>
        <n v="19895"/>
        <n v="30545"/>
        <n v="105700.25"/>
        <n v="1506"/>
        <n v="57500"/>
        <n v="540"/>
        <n v="35699"/>
        <n v="9101"/>
        <n v="-18200"/>
        <n v="77103"/>
        <n v="627"/>
        <n v="5000"/>
        <n v="4775"/>
        <n v="56050"/>
        <n v="2651"/>
        <n v="342"/>
        <n v="-101"/>
        <n v="997"/>
        <n v="31464"/>
        <n v="12248"/>
        <n v="1002"/>
        <n v="-17855"/>
        <n v="69620"/>
        <n v="-10000"/>
        <n v="9900"/>
        <n v="991"/>
        <n v="32600"/>
        <n v="65063"/>
        <n v="17464"/>
        <n v="182900"/>
        <n v="36639"/>
        <n v="17346"/>
        <n v="54251"/>
        <n v="64411"/>
        <n v="27527"/>
        <n v="37574"/>
        <n v="40576"/>
        <n v="1"/>
        <n v="3000"/>
        <n v="42480"/>
        <n v="282000"/>
        <n v="6785"/>
        <n v="8378"/>
        <n v="92925"/>
        <n v="63280"/>
        <n v="104303"/>
        <n v="13166"/>
        <n v="2185"/>
        <n v="11788"/>
        <n v="3324"/>
        <n v="42562"/>
        <n v="12018"/>
        <n v="36380"/>
        <n v="-6410.67"/>
        <n v="6300"/>
        <n v="7264"/>
        <n v="6490"/>
        <n v="4838"/>
        <n v="9660"/>
        <n v="18550"/>
        <n v="76981"/>
        <n v="59870"/>
        <n v="28473"/>
        <n v="174786"/>
        <n v="71366"/>
        <n v="-4965"/>
        <n v="9914.4599999999991"/>
        <n v="616"/>
        <n v="76608"/>
        <n v="13623"/>
        <n v="298"/>
        <n v="1204"/>
        <n v="4487"/>
        <n v="6628.4"/>
        <n v="30934.2"/>
        <n v="41400"/>
        <n v="21368.720000000001"/>
        <n v="72499"/>
        <n v="40356"/>
        <n v="118000"/>
        <n v="354000"/>
        <n v="-1235"/>
        <n v="-965"/>
        <n v="3819.05"/>
        <n v="202.32"/>
        <n v="5183.8"/>
        <n v="2795.91"/>
        <n v="850.5"/>
        <n v="1143.4000000000001"/>
        <n v="1236.3800000000001"/>
        <n v="2048.4499999999998"/>
        <n v="4858.8999999999996"/>
        <n v="2261.0500000000002"/>
        <n v="281.86"/>
        <n v="3220"/>
        <n v="35549"/>
        <n v="36250"/>
        <n v="13822"/>
        <n v="14868"/>
        <n v="39648"/>
        <n v="-14490"/>
        <n v="32811"/>
        <n v="20700"/>
        <n v="26550"/>
        <n v="146910"/>
        <n v="-345"/>
        <n v="1417"/>
        <n v="4945"/>
        <n v="2608"/>
        <n v="6000"/>
        <n v="12573"/>
        <n v="32200"/>
        <n v="236000"/>
        <n v="14249"/>
        <n v="-248"/>
        <n v="6812"/>
        <n v="21240"/>
        <n v="7140"/>
        <n v="11664"/>
        <n v="-1128"/>
        <n v="-37581"/>
        <n v="15215"/>
        <n v="103500"/>
        <n v="41297"/>
        <n v="17722"/>
        <n v="97439"/>
        <n v="99297"/>
        <n v="-6555"/>
        <n v="-46575"/>
        <n v="-27324"/>
        <n v="-50976"/>
        <n v="55575"/>
        <n v="-80500"/>
        <n v="1404"/>
        <n v="10019"/>
        <n v="20109"/>
        <n v="0.4"/>
        <n v="835.36"/>
        <n v="784"/>
        <n v="727"/>
        <n v="2519"/>
        <n v="2694"/>
        <n v="1646"/>
        <n v="501"/>
        <n v="1244"/>
        <n v="1245"/>
        <n v="16388"/>
        <n v="4750"/>
        <n v="52760"/>
        <n v="53808"/>
        <n v="505"/>
        <n v="8732"/>
        <n v="26196"/>
        <n v="5848.5"/>
        <n v="34196"/>
        <n v="-12610"/>
        <n v="50034"/>
        <n v="84960"/>
        <n v="30005"/>
        <n v="19278"/>
        <n v="6373"/>
        <n v="-120"/>
        <n v="18216"/>
        <n v="-351"/>
        <n v="560"/>
        <n v="7460"/>
        <n v="-141.1"/>
        <n v="14750"/>
        <n v="27078"/>
        <n v="4301"/>
        <n v="7429"/>
        <n v="6452"/>
        <n v="72010"/>
        <n v="131688"/>
        <n v="25060"/>
        <n v="16974"/>
        <n v="-2950"/>
        <n v="-4567"/>
        <n v="9925"/>
        <n v="2130"/>
        <n v="5875"/>
        <n v="25272"/>
        <n v="51401"/>
        <n v="-3488"/>
        <n v="893"/>
        <n v="9477"/>
        <n v="196895"/>
        <n v="15577"/>
        <n v="19116"/>
        <n v="348"/>
        <n v="129291"/>
        <n v="23600"/>
        <n v="41536"/>
        <n v="141600"/>
        <n v="46020"/>
        <n v="17110"/>
        <n v="37666"/>
        <n v="18833"/>
        <n v="197577"/>
        <n v="18125"/>
        <n v="12479"/>
        <n v="15930"/>
        <n v="6608"/>
        <n v="94400"/>
        <n v="17824"/>
        <n v="12058"/>
        <n v="14455"/>
        <n v="-1236"/>
        <n v="37329"/>
        <n v="-577.5"/>
        <n v="30255"/>
        <n v="2098"/>
        <n v="1559"/>
        <n v="407"/>
        <n v="-500"/>
        <n v="93810"/>
        <n v="67968"/>
        <n v="15517"/>
        <n v="9152"/>
        <n v="5305"/>
        <n v="17664"/>
        <n v="25162"/>
        <n v="17248"/>
        <n v="12951"/>
        <n v="11682"/>
        <n v="37998"/>
        <n v="74659"/>
        <n v="28704"/>
        <n v="10209"/>
        <n v="87493"/>
        <n v="13821"/>
        <n v="-210"/>
        <n v="630"/>
        <n v="113750"/>
        <n v="-2000"/>
        <n v="576"/>
        <n v="0.9"/>
        <n v="8852"/>
        <n v="891"/>
        <n v="4016"/>
        <n v="148500"/>
        <n v="166000"/>
        <n v="53631"/>
        <n v="12938"/>
        <n v="9806"/>
        <n v="57925"/>
        <n v="19743"/>
        <n v="-11307"/>
        <n v="61335"/>
        <n v="700000"/>
        <n v="54693"/>
        <n v="67280"/>
        <n v="-66010"/>
        <n v="11471"/>
        <n v="169920"/>
        <n v="-1258"/>
        <n v="17523"/>
        <n v="96760"/>
        <n v="74080"/>
        <n v="51330"/>
        <n v="10163"/>
        <n v="6586"/>
        <n v="1766"/>
        <n v="10752"/>
        <n v="5841"/>
        <n v="21134"/>
        <n v="10762"/>
        <n v="14490"/>
        <n v="90562"/>
        <n v="566400"/>
        <n v="5473"/>
        <n v="28377"/>
        <n v="1544"/>
        <n v="5700"/>
        <n v="201360"/>
        <n v="1090"/>
        <n v="11329.1"/>
        <n v="265500"/>
        <n v="63059"/>
        <n v="56266"/>
        <n v="74395"/>
        <n v="4752"/>
        <n v="14850"/>
        <n v="1000"/>
        <n v="27686"/>
        <n v="3536"/>
        <n v="14493"/>
        <n v="7965"/>
        <n v="-27686"/>
        <n v="-3536"/>
        <n v="2803.68"/>
        <n v="0.6"/>
        <n v="25671"/>
        <n v="24391"/>
        <n v="-2243"/>
        <n v="-1415"/>
        <n v="-707"/>
        <n v="2365"/>
        <n v="751"/>
        <n v="18408"/>
        <n v="10306"/>
        <n v="34624"/>
        <n v="22798"/>
        <n v="31495"/>
        <n v="-261"/>
        <n v="3564"/>
        <n v="4988"/>
        <n v="-146"/>
        <n v="14065"/>
        <n v="-6935"/>
        <n v="321"/>
        <n v="132275"/>
        <n v="20337"/>
        <n v="-23669"/>
        <n v="1403"/>
        <n v="-30000"/>
        <n v="14894"/>
        <n v="13578"/>
        <n v="1528"/>
        <n v="240000"/>
        <n v="920"/>
        <n v="-6989"/>
        <n v="5036"/>
        <n v="9622"/>
        <n v="10089"/>
        <n v="10443"/>
        <n v="31329"/>
        <n v="18999"/>
        <n v="-40285"/>
        <n v="11343"/>
        <n v="607"/>
        <n v="25505"/>
        <n v="147"/>
        <n v="9062"/>
        <n v="48000"/>
        <n v="40285"/>
        <n v="-198"/>
        <n v="2440"/>
        <n v="12167"/>
        <n v="5664"/>
        <n v="150101"/>
        <n v="29429"/>
        <n v="36708.42"/>
        <n v="383"/>
        <n v="5003"/>
        <n v="2832"/>
        <n v="3242"/>
        <n v="3721"/>
        <n v="23010"/>
        <n v="-3953"/>
        <n v="-103"/>
        <n v="7973"/>
        <n v="16250"/>
        <n v="7611"/>
        <n v="161353"/>
        <n v="47082"/>
        <n v="45084"/>
        <n v="9800"/>
        <n v="292"/>
        <n v="3366"/>
        <n v="255552"/>
        <n v="-15000"/>
        <n v="-16464"/>
        <n v="546"/>
        <n v="44712"/>
        <n v="59322"/>
        <n v="5546"/>
        <n v="14248"/>
        <n v="13594"/>
        <n v="100371"/>
        <n v="16992"/>
        <n v="47141"/>
        <n v="-3811"/>
        <n v="1951"/>
        <n v="19120"/>
        <n v="41212"/>
        <n v="1730.75"/>
        <n v="24273"/>
        <n v="99799"/>
        <n v="4000"/>
        <n v="-1750"/>
        <n v="91450"/>
        <n v="22066"/>
        <n v="37996"/>
        <n v="5706"/>
        <n v="-260"/>
        <n v="25000"/>
        <n v="9488"/>
        <n v="53100"/>
        <n v="38244"/>
        <n v="200135"/>
        <n v="397778"/>
        <n v="60547.5"/>
        <n v="10000.5"/>
        <n v="127074.15"/>
        <n v="55135.5"/>
        <n v="16040"/>
        <n v="-375.37"/>
        <n v="-34271"/>
        <n v="1236"/>
        <n v="37664"/>
        <n v="10868"/>
        <n v="11771"/>
        <n v="24067"/>
        <n v="3481"/>
        <n v="2797.39"/>
        <n v="2596"/>
        <n v="4395.5"/>
        <n v="14709"/>
        <n v="56778"/>
        <n v="23345"/>
        <n v="29217"/>
        <n v="21927"/>
        <n v="16872"/>
        <n v="15252"/>
        <n v="13570"/>
        <n v="38173"/>
        <n v="114696"/>
        <n v="82600"/>
        <n v="88854"/>
        <n v="2438"/>
        <n v="3251"/>
        <n v="1006"/>
        <n v="3776"/>
        <n v="12440"/>
        <n v="4575"/>
        <n v="13680"/>
        <n v="29900"/>
        <n v="30285"/>
        <n v="115640"/>
        <n v="12390"/>
        <n v="24780"/>
        <n v="24072"/>
        <n v="-32825"/>
        <n v="-150000"/>
        <n v="-25746"/>
        <n v="-120000"/>
        <n v="-1342"/>
        <n v="-190000"/>
        <n v="-18369"/>
        <n v="670"/>
        <n v="97468"/>
        <n v="68890"/>
        <n v="28025"/>
        <n v="44993"/>
        <n v="27829"/>
        <n v="324068"/>
        <n v="86376"/>
        <n v="101055"/>
        <n v="5163"/>
        <n v="77609"/>
        <n v="-1488"/>
        <n v="963"/>
        <n v="-182"/>
        <n v="36920"/>
        <n v="8481"/>
        <n v="22080"/>
        <n v="63379"/>
        <n v="43591"/>
        <n v="42061"/>
        <n v="575"/>
        <n v="2600"/>
        <n v="-100000"/>
        <n v="4482.2"/>
        <n v="186162"/>
        <n v="43967"/>
        <n v="48882"/>
        <n v="19470"/>
        <n v="22302"/>
        <n v="22420"/>
        <n v="14975"/>
        <n v="17872"/>
        <n v="24886"/>
        <n v="619999"/>
        <n v="40533"/>
        <n v="68658"/>
        <n v="4860"/>
        <n v="4956"/>
        <n v="27258"/>
        <n v="15635"/>
        <n v="15865"/>
        <n v="17488"/>
        <n v="48093"/>
        <n v="137635"/>
        <n v="24288"/>
        <n v="46988"/>
        <n v="20976"/>
        <n v="3717"/>
        <n v="43837"/>
        <n v="3540"/>
        <n v="6272"/>
        <n v="2489"/>
        <n v="-6125"/>
        <n v="-20121"/>
        <n v="20672"/>
        <n v="11023"/>
        <n v="15341"/>
        <n v="79118"/>
        <n v="15718"/>
        <n v="11044"/>
        <n v="-6251.14"/>
        <n v="-4051"/>
        <n v="-15586"/>
        <n v="67006"/>
        <n v="13242"/>
        <n v="74547"/>
        <n v="5900"/>
        <n v="4160"/>
        <n v="8408"/>
        <n v="43724"/>
        <n v="21417"/>
        <n v="29028"/>
        <n v="20650"/>
        <n v="41291"/>
        <n v="373"/>
        <n v="255"/>
        <n v="92098"/>
        <n v="23604"/>
        <n v="42877"/>
        <n v="69536"/>
        <n v="31050"/>
        <n v="46000"/>
        <n v="5865"/>
        <n v="2076"/>
        <n v="524"/>
        <n v="53123"/>
        <n v="115168"/>
        <n v="-47278"/>
        <n v="-999"/>
        <n v="156285"/>
        <n v="91152"/>
        <n v="108848"/>
        <n v="45632"/>
        <n v="66507"/>
        <n v="84075"/>
        <n v="24220"/>
        <n v="25972"/>
        <n v="61896"/>
        <n v="78475"/>
        <n v="35437"/>
        <n v="8083"/>
        <n v="15529"/>
        <n v="590"/>
        <n v="236"/>
        <n v="57702"/>
        <n v="437"/>
        <n v="124200"/>
        <n v="35190"/>
        <n v="10000"/>
        <n v="35976"/>
        <n v="193520"/>
        <n v="580"/>
        <n v="68285"/>
        <n v="101160"/>
        <n v="22656"/>
        <n v="203267"/>
        <n v="43649"/>
        <n v="4416"/>
        <n v="6624"/>
        <n v="17920"/>
        <n v="15293"/>
        <n v="13910"/>
        <n v="26265"/>
        <n v="2970"/>
        <n v="3127"/>
        <n v="15728"/>
        <n v="460"/>
        <n v="57443"/>
        <n v="154078"/>
        <n v="92500"/>
        <n v="119888"/>
        <n v="90022"/>
        <n v="4071"/>
        <n v="6797"/>
        <n v="14738"/>
        <n v="3363"/>
        <n v="5723"/>
        <n v="100000"/>
        <n v="56923"/>
        <n v="128396"/>
        <n v="17700"/>
        <n v="53838"/>
        <n v="30001"/>
        <n v="48920"/>
        <n v="-160"/>
        <n v="175056"/>
        <n v="44444"/>
        <n v="26108"/>
        <n v="3493"/>
        <n v="24073"/>
        <n v="-503"/>
        <n v="38549"/>
        <n v="17003"/>
        <n v="46920"/>
        <n v="30000"/>
        <n v="11210"/>
        <n v="330093"/>
        <n v="147878"/>
        <n v="472000"/>
        <n v="2640"/>
        <n v="1328"/>
        <n v="6372"/>
        <n v="1062"/>
        <n v="6124"/>
        <n v="8372"/>
        <n v="7540"/>
        <n v="89444"/>
        <n v="17983"/>
        <n v="133387"/>
        <n v="71980"/>
        <n v="527702"/>
        <n v="33394"/>
        <n v="-1178"/>
        <n v="29650"/>
        <n v="1263"/>
        <n v="29710"/>
        <n v="1003"/>
        <n v="5369"/>
        <n v="4720"/>
        <n v="4472"/>
        <n v="7452"/>
        <n v="67685"/>
        <n v="17241"/>
        <n v="3874"/>
        <n v="2424"/>
        <n v="33538"/>
        <n v="39574"/>
        <n v="14045"/>
        <n v="19588"/>
        <n v="19500"/>
        <n v="621"/>
        <n v="1569"/>
        <n v="1566"/>
        <n v="39506"/>
        <n v="36698"/>
        <n v="23128"/>
        <n v="17748"/>
        <n v="17159"/>
        <n v="35650"/>
        <n v="8640"/>
        <n v="4320"/>
        <n v="10050"/>
        <n v="37519"/>
        <n v="85997"/>
        <n v="8740.9699999999993"/>
        <n v="17997.7"/>
        <n v="4250"/>
        <n v="4000.25"/>
        <n v="875"/>
        <n v="17800"/>
        <n v="1319.62"/>
        <n v="5951"/>
        <n v="36500"/>
        <n v="17480"/>
        <n v="21528"/>
        <n v="24529.75"/>
        <n v="2049"/>
        <n v="10412"/>
        <n v="50466"/>
        <n v="19824"/>
        <n v="18880"/>
        <n v="6046"/>
        <n v="29926"/>
        <n v="8550"/>
        <n v="-490"/>
        <n v="7104"/>
        <n v="7222"/>
        <n v="27516"/>
        <n v="53750"/>
        <n v="280"/>
        <n v="1398"/>
        <n v="5531"/>
        <n v="-530"/>
        <n v="10401"/>
        <n v="1786"/>
        <n v="5667"/>
        <n v="65458"/>
        <n v="74324"/>
        <n v="24581"/>
        <n v="25419"/>
        <n v="676"/>
        <n v="985"/>
        <n v="16519"/>
        <n v="2214"/>
        <n v="9054"/>
        <n v="6457"/>
        <n v="16764.84"/>
        <n v="1564"/>
        <n v="53354"/>
        <n v="-700"/>
        <n v="256"/>
        <n v="4739"/>
        <n v="11372"/>
        <n v="3758"/>
        <n v="4352"/>
        <n v="4806"/>
        <n v="2624"/>
        <n v="22398"/>
        <n v="3269"/>
        <n v="59000"/>
        <n v="23355"/>
        <n v="43740"/>
        <n v="27014"/>
        <n v="2215"/>
        <n v="12001"/>
        <n v="18929"/>
        <n v="18079"/>
        <n v="2916"/>
        <n v="19725"/>
        <n v="489"/>
        <n v="27603"/>
        <n v="2397"/>
        <n v="-605"/>
        <n v="38304"/>
        <n v="6320"/>
        <n v="604"/>
        <n v="63720"/>
        <n v="9729.0400000000009"/>
        <n v="6719.28"/>
        <n v="12744"/>
        <n v="4291"/>
        <n v="13688"/>
        <n v="200500"/>
        <n v="5501"/>
        <n v="14950"/>
        <n v="20739"/>
        <n v="-14950"/>
        <n v="21011"/>
        <n v="6629"/>
        <n v="2569"/>
        <n v="-246"/>
        <n v="-25175"/>
        <n v="18600"/>
        <n v="6700"/>
        <n v="50500"/>
        <n v="52449"/>
        <n v="6200"/>
        <n v="6814"/>
        <n v="1104"/>
        <n v="-817"/>
        <n v="5544"/>
        <n v="661"/>
        <n v="4651"/>
        <n v="1075"/>
        <n v="510"/>
        <n v="493"/>
        <n v="11033"/>
        <n v="12980"/>
        <n v="3"/>
        <n v="23693"/>
        <n v="4520"/>
        <n v="9770"/>
        <n v="11640"/>
        <n v="23000"/>
        <n v="1171.25"/>
        <n v="32"/>
        <n v="1663.44"/>
        <n v="7350"/>
        <n v="1840"/>
        <n v="1175"/>
        <n v="26419"/>
        <n v="23311"/>
        <n v="15758"/>
        <n v="10800"/>
        <n v="8748"/>
        <n v="432"/>
        <n v="29160"/>
        <n v="15012"/>
        <n v="6415"/>
        <n v="16499"/>
        <n v="16591"/>
        <n v="1262"/>
        <n v="14594"/>
        <n v="-917"/>
        <n v="-6680"/>
        <n v="-7710"/>
        <n v="-8168.5"/>
        <n v="4298"/>
        <n v="5724"/>
        <n v="8261"/>
        <n v="4578"/>
        <n v="11405"/>
        <n v="3896.45"/>
        <n v="8102"/>
        <n v="6100"/>
        <n v="21203"/>
        <n v="8147"/>
        <n v="17685"/>
        <n v="2979.25"/>
        <n v="5762.7"/>
        <n v="495.6"/>
        <n v="11536.8"/>
        <n v="10161"/>
        <n v="12320"/>
        <n v="22000"/>
        <n v="11385"/>
        <n v="709.3"/>
        <n v="3648"/>
        <n v="6210"/>
        <n v="4826"/>
        <n v="34534"/>
        <n v="3824"/>
        <n v="17705"/>
        <n v="4973"/>
        <n v="10793"/>
        <n v="8400"/>
        <n v="12161"/>
        <n v="11396"/>
        <n v="725"/>
        <n v="-7811"/>
        <n v="23984"/>
        <n v="62531"/>
        <n v="300"/>
        <n v="156912"/>
        <n v="2507"/>
        <n v="18570"/>
        <n v="3110"/>
        <n v="12952"/>
        <n v="1863"/>
        <n v="-400"/>
        <n v="14864"/>
        <n v="6250"/>
        <n v="-5268"/>
        <n v="10256"/>
        <n v="17312"/>
        <n v="70000"/>
        <n v="57782"/>
        <n v="19802"/>
        <n v="21735"/>
        <n v="17000"/>
        <n v="960"/>
        <n v="-4553.74"/>
        <n v="14282"/>
        <n v="33262"/>
        <n v="8320"/>
        <n v="9033"/>
        <n v="6310"/>
        <n v="69116"/>
        <n v="30780"/>
        <n v="4317"/>
        <n v="18468"/>
        <n v="9872"/>
        <n v="22502"/>
        <n v="271400"/>
        <n v="900"/>
        <n v="15552"/>
        <n v="34560"/>
        <n v="25920"/>
        <n v="15220"/>
        <n v="1100"/>
        <n v="121400"/>
        <n v="5077"/>
        <n v="2530"/>
        <n v="32037"/>
        <n v="18734"/>
        <n v="1918"/>
        <n v="2124"/>
        <n v="-22484"/>
        <n v="3662.72"/>
        <n v="2142"/>
        <n v="9614"/>
        <n v="40785"/>
        <n v="5980"/>
        <n v="3392"/>
        <n v="8424"/>
        <n v="12636"/>
        <n v="1750"/>
        <n v="68037"/>
        <n v="24975"/>
        <n v="23184"/>
        <n v="14921"/>
        <n v="60480"/>
        <n v="3248"/>
        <n v="6153"/>
        <n v="653"/>
        <n v="20709"/>
        <n v="13915"/>
        <n v="1956"/>
        <n v="2257"/>
        <n v="-938"/>
        <n v="51937"/>
        <n v="2161"/>
        <n v="172044"/>
        <n v="19187"/>
        <n v="708"/>
        <n v="13947"/>
        <n v="739.5"/>
        <n v="2102.7600000000002"/>
        <n v="12582"/>
        <n v="3793"/>
        <n v="24397"/>
        <n v="-2040"/>
        <n v="165500"/>
        <n v="14226"/>
        <n v="1161"/>
        <n v="959"/>
        <n v="-11430"/>
        <n v="5655"/>
        <n v="5775"/>
        <n v="2927"/>
        <n v="7375"/>
        <n v="17245"/>
        <n v="69018"/>
        <n v="12843"/>
        <n v="318600"/>
        <n v="79773"/>
        <n v="13664"/>
        <n v="10110"/>
        <n v="0.36"/>
        <n v="-887"/>
        <n v="-7732"/>
        <n v="2144"/>
        <n v="8958"/>
        <n v="2183"/>
        <n v="766"/>
        <n v="-3247"/>
        <n v="-12462"/>
        <n v="-45798"/>
        <n v="39308"/>
        <n v="71415"/>
        <n v="3919"/>
        <n v="38970"/>
        <n v="4901"/>
        <n v="4220"/>
        <n v="14036.5"/>
        <n v="100602"/>
        <n v="6018"/>
        <n v="4673"/>
        <n v="-2487"/>
        <n v="26985"/>
        <n v="423"/>
        <n v="15000"/>
        <n v="3495"/>
        <n v="-42921"/>
        <n v="5244"/>
        <n v="7728"/>
        <n v="4460"/>
        <n v="33485"/>
        <n v="2974"/>
        <n v="62304"/>
        <n v="9676"/>
        <n v="1479"/>
        <n v="5263.29"/>
        <n v="-10585"/>
        <n v="30383"/>
        <n v="38338"/>
        <n v="13423"/>
        <n v="25644"/>
        <n v="25700"/>
        <n v="24431"/>
        <n v="1593"/>
        <n v="12931"/>
        <n v="11818"/>
        <n v="174994"/>
        <n v="1148"/>
        <n v="11815"/>
        <n v="8567"/>
        <n v="37655"/>
      </sharedItems>
    </cacheField>
    <cacheField name="Customer Phon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1">
  <r>
    <s v="190000574"/>
    <s v="Stafford Motor Co (Pvt) Ltd"/>
    <x v="0"/>
    <x v="0"/>
    <s v="4227259792"/>
    <d v="2023-10-31T00:00:00"/>
    <n v="10"/>
    <x v="0"/>
    <n v="11270"/>
    <n v="11270"/>
    <n v="385"/>
    <x v="0"/>
    <s v="117522540"/>
  </r>
  <r>
    <s v="190000574"/>
    <s v="Stafford Motor Co (Pvt) Ltd"/>
    <x v="0"/>
    <x v="0"/>
    <s v="4227269569"/>
    <d v="2024-01-30T00:00:00"/>
    <n v="1"/>
    <x v="1"/>
    <n v="91474"/>
    <n v="91474"/>
    <n v="294"/>
    <x v="1"/>
    <s v="117522540"/>
  </r>
  <r>
    <s v="190000574"/>
    <s v="Stafford Motor Co (Pvt) Ltd"/>
    <x v="0"/>
    <x v="0"/>
    <s v="4227290487"/>
    <d v="2024-07-31T00:00:00"/>
    <n v="7"/>
    <x v="1"/>
    <n v="67079"/>
    <n v="0.34"/>
    <n v="111"/>
    <x v="2"/>
    <s v="117522540"/>
  </r>
  <r>
    <s v="190000574"/>
    <s v="Stafford Motor Co (Pvt) Ltd"/>
    <x v="0"/>
    <x v="0"/>
    <s v="4227298414"/>
    <d v="2024-09-30T00:00:00"/>
    <n v="9"/>
    <x v="1"/>
    <n v="36455"/>
    <n v="36455"/>
    <n v="50"/>
    <x v="3"/>
    <s v="117522540"/>
  </r>
  <r>
    <s v="190000574"/>
    <s v="Stafford Motor Co (Pvt) Ltd"/>
    <x v="0"/>
    <x v="0"/>
    <s v="4227300791"/>
    <d v="2024-10-15T00:00:00"/>
    <n v="10"/>
    <x v="1"/>
    <n v="308482"/>
    <n v="308482"/>
    <n v="35"/>
    <x v="3"/>
    <s v="117522540"/>
  </r>
  <r>
    <s v="190000574"/>
    <s v="Stafford Motor Co (Pvt) Ltd"/>
    <x v="0"/>
    <x v="0"/>
    <s v="5227015478"/>
    <d v="2024-08-23T00:00:00"/>
    <n v="8"/>
    <x v="1"/>
    <n v="-11270"/>
    <n v="-11270"/>
    <n v="88"/>
    <x v="3"/>
    <s v="117522540"/>
  </r>
  <r>
    <s v="190000574"/>
    <s v="Stafford Motor Co (Pvt) Ltd"/>
    <x v="0"/>
    <x v="0"/>
    <s v="5227015909"/>
    <d v="2024-11-12T00:00:00"/>
    <n v="11"/>
    <x v="1"/>
    <n v="-30491"/>
    <n v="-30491"/>
    <n v="7"/>
    <x v="3"/>
    <s v="117522540"/>
  </r>
  <r>
    <s v="190000643"/>
    <s v="Allianz Insurance Lanka Limited"/>
    <x v="0"/>
    <x v="0"/>
    <s v="4227246201"/>
    <d v="2023-06-30T00:00:00"/>
    <n v="6"/>
    <x v="0"/>
    <n v="17250"/>
    <n v="17250"/>
    <n v="508"/>
    <x v="4"/>
    <s v="114936923"/>
  </r>
  <r>
    <s v="190000643"/>
    <s v="Allianz Insurance Lanka Limited"/>
    <x v="0"/>
    <x v="0"/>
    <s v="4227299435"/>
    <d v="2024-10-04T00:00:00"/>
    <n v="10"/>
    <x v="1"/>
    <n v="35400"/>
    <n v="35400"/>
    <n v="46"/>
    <x v="3"/>
    <s v="114936923"/>
  </r>
  <r>
    <s v="190000643"/>
    <s v="Allianz Insurance Lanka Limited"/>
    <x v="0"/>
    <x v="0"/>
    <s v="4227299444"/>
    <d v="2024-10-04T00:00:00"/>
    <n v="10"/>
    <x v="1"/>
    <n v="34515"/>
    <n v="34515"/>
    <n v="46"/>
    <x v="3"/>
    <s v="114936923"/>
  </r>
  <r>
    <s v="190000744"/>
    <s v="Sri Lanka Land Reclamation &amp;"/>
    <x v="0"/>
    <x v="0"/>
    <s v="217227/660854"/>
    <d v="2024-01-30T00:00:00"/>
    <n v="1"/>
    <x v="1"/>
    <n v="-11532.5"/>
    <n v="-11532.5"/>
    <n v="294"/>
    <x v="5"/>
    <s v="Days 90 &lt;"/>
  </r>
  <r>
    <s v="190000744"/>
    <s v="Sri Lanka Land Reclamation &amp;"/>
    <x v="0"/>
    <x v="0"/>
    <s v="4227297877"/>
    <d v="2024-09-26T00:00:00"/>
    <n v="9"/>
    <x v="1"/>
    <n v="25960"/>
    <n v="25960"/>
    <n v="54"/>
    <x v="3"/>
    <s v="112369049"/>
  </r>
  <r>
    <s v="190000744"/>
    <s v="Sri Lanka Land Reclamation &amp;"/>
    <x v="0"/>
    <x v="0"/>
    <s v="4227298686"/>
    <d v="2024-09-30T00:00:00"/>
    <n v="9"/>
    <x v="1"/>
    <n v="49560"/>
    <n v="49560"/>
    <n v="50"/>
    <x v="3"/>
    <s v="112369049"/>
  </r>
  <r>
    <s v="190000744"/>
    <s v="Sri Lanka Land Reclamation &amp;"/>
    <x v="0"/>
    <x v="0"/>
    <s v="4227304952"/>
    <d v="2024-11-06T00:00:00"/>
    <n v="11"/>
    <x v="1"/>
    <n v="30444"/>
    <n v="30444"/>
    <n v="13"/>
    <x v="3"/>
    <s v="112369049"/>
  </r>
  <r>
    <s v="190000854"/>
    <s v="I M Baseline (PVT) LTD"/>
    <x v="0"/>
    <x v="0"/>
    <s v="107763 - 651339"/>
    <d v="2018-12-29T00:00:00"/>
    <n v="12"/>
    <x v="2"/>
    <n v="-158"/>
    <n v="-158"/>
    <n v="2152"/>
    <x v="6"/>
    <s v="779112410"/>
  </r>
  <r>
    <s v="190000854"/>
    <s v="I M Baseline (PVT) LTD"/>
    <x v="0"/>
    <x v="0"/>
    <s v="4227131710"/>
    <d v="2020-01-31T00:00:00"/>
    <n v="1"/>
    <x v="3"/>
    <n v="48694"/>
    <n v="14209.98"/>
    <n v="1754"/>
    <x v="7"/>
    <s v="779112410"/>
  </r>
  <r>
    <s v="190000854"/>
    <s v="I M Baseline (PVT) LTD"/>
    <x v="0"/>
    <x v="0"/>
    <s v="4227133104"/>
    <d v="2020-02-12T00:00:00"/>
    <n v="2"/>
    <x v="3"/>
    <n v="15390"/>
    <n v="15390"/>
    <n v="1742"/>
    <x v="8"/>
    <s v="779112410"/>
  </r>
  <r>
    <s v="190000854"/>
    <s v="I M Baseline (PVT) LTD"/>
    <x v="0"/>
    <x v="0"/>
    <s v="4227133105"/>
    <d v="2020-02-12T00:00:00"/>
    <n v="2"/>
    <x v="3"/>
    <n v="15390"/>
    <n v="15390"/>
    <n v="1742"/>
    <x v="8"/>
    <s v="779112410"/>
  </r>
  <r>
    <s v="190000854"/>
    <s v="I M Baseline (PVT) LTD"/>
    <x v="0"/>
    <x v="0"/>
    <s v="4227134458"/>
    <d v="2020-02-24T00:00:00"/>
    <n v="2"/>
    <x v="3"/>
    <n v="15390"/>
    <n v="15390"/>
    <n v="1730"/>
    <x v="8"/>
    <s v="779112410"/>
  </r>
  <r>
    <s v="190000854"/>
    <s v="I M Baseline (PVT) LTD"/>
    <x v="0"/>
    <x v="0"/>
    <s v="4227135490"/>
    <d v="2020-02-29T00:00:00"/>
    <n v="2"/>
    <x v="3"/>
    <n v="39082"/>
    <n v="39082"/>
    <n v="1725"/>
    <x v="9"/>
    <s v="779112410"/>
  </r>
  <r>
    <s v="190000854"/>
    <s v="I M Baseline (PVT) LTD"/>
    <x v="0"/>
    <x v="0"/>
    <s v="4227136384"/>
    <d v="2020-03-11T00:00:00"/>
    <n v="3"/>
    <x v="3"/>
    <n v="53797"/>
    <n v="53797"/>
    <n v="1714"/>
    <x v="10"/>
    <s v="779112410"/>
  </r>
  <r>
    <s v="190000854"/>
    <s v="I M Baseline (PVT) LTD"/>
    <x v="0"/>
    <x v="0"/>
    <s v="4227138186"/>
    <d v="2020-05-21T00:00:00"/>
    <n v="5"/>
    <x v="3"/>
    <n v="50220"/>
    <n v="50220"/>
    <n v="1643"/>
    <x v="11"/>
    <s v="779112410"/>
  </r>
  <r>
    <s v="190000854"/>
    <s v="I M Baseline (PVT) LTD"/>
    <x v="0"/>
    <x v="0"/>
    <s v="4227139410"/>
    <d v="2020-06-09T00:00:00"/>
    <n v="6"/>
    <x v="3"/>
    <n v="32478"/>
    <n v="32478"/>
    <n v="1624"/>
    <x v="12"/>
    <s v="779112410"/>
  </r>
  <r>
    <s v="190000854"/>
    <s v="I M Baseline (PVT) LTD"/>
    <x v="0"/>
    <x v="0"/>
    <s v="4227141312"/>
    <d v="2020-06-23T00:00:00"/>
    <n v="6"/>
    <x v="3"/>
    <n v="84726"/>
    <n v="84726"/>
    <n v="1610"/>
    <x v="13"/>
    <s v="779112410"/>
  </r>
  <r>
    <s v="190000854"/>
    <s v="I M Baseline (PVT) LTD"/>
    <x v="0"/>
    <x v="0"/>
    <s v="4227142126"/>
    <d v="2020-06-30T00:00:00"/>
    <n v="6"/>
    <x v="3"/>
    <n v="14040"/>
    <n v="14040"/>
    <n v="1603"/>
    <x v="14"/>
    <s v="779112410"/>
  </r>
  <r>
    <s v="190000854"/>
    <s v="I M Baseline (PVT) LTD"/>
    <x v="0"/>
    <x v="0"/>
    <s v="4227144048"/>
    <d v="2020-07-20T00:00:00"/>
    <n v="7"/>
    <x v="3"/>
    <n v="56713"/>
    <n v="56713"/>
    <n v="1583"/>
    <x v="15"/>
    <s v="779112410"/>
  </r>
  <r>
    <s v="190000854"/>
    <s v="I M Baseline (PVT) LTD"/>
    <x v="0"/>
    <x v="0"/>
    <s v="4227144314"/>
    <d v="2020-07-22T00:00:00"/>
    <n v="7"/>
    <x v="3"/>
    <n v="36612"/>
    <n v="36612"/>
    <n v="1581"/>
    <x v="16"/>
    <s v="779112410"/>
  </r>
  <r>
    <s v="190000854"/>
    <s v="I M Baseline (PVT) LTD"/>
    <x v="0"/>
    <x v="0"/>
    <s v="4227146421"/>
    <d v="2020-08-12T00:00:00"/>
    <n v="8"/>
    <x v="3"/>
    <n v="39852"/>
    <n v="39852"/>
    <n v="1560"/>
    <x v="17"/>
    <s v="779112410"/>
  </r>
  <r>
    <s v="190000854"/>
    <s v="I M Baseline (PVT) LTD"/>
    <x v="0"/>
    <x v="0"/>
    <s v="4227146529"/>
    <d v="2020-08-13T00:00:00"/>
    <n v="8"/>
    <x v="3"/>
    <n v="22369"/>
    <n v="22369"/>
    <n v="1559"/>
    <x v="18"/>
    <s v="779112410"/>
  </r>
  <r>
    <s v="190000854"/>
    <s v="I M Baseline (PVT) LTD"/>
    <x v="0"/>
    <x v="0"/>
    <s v="4227148145"/>
    <d v="2020-08-27T00:00:00"/>
    <n v="8"/>
    <x v="3"/>
    <n v="67068"/>
    <n v="62532"/>
    <n v="1545"/>
    <x v="19"/>
    <s v="779112410"/>
  </r>
  <r>
    <s v="190000854"/>
    <s v="I M Baseline (PVT) LTD"/>
    <x v="0"/>
    <x v="0"/>
    <s v="4227148668"/>
    <d v="2020-08-31T00:00:00"/>
    <n v="8"/>
    <x v="3"/>
    <n v="31104"/>
    <n v="31104"/>
    <n v="1541"/>
    <x v="20"/>
    <s v="779112410"/>
  </r>
  <r>
    <s v="190000854"/>
    <s v="I M Baseline (PVT) LTD"/>
    <x v="0"/>
    <x v="0"/>
    <s v="4227149670"/>
    <d v="2020-09-09T00:00:00"/>
    <n v="9"/>
    <x v="3"/>
    <n v="14580"/>
    <n v="14580"/>
    <n v="1532"/>
    <x v="21"/>
    <s v="779112410"/>
  </r>
  <r>
    <s v="190000854"/>
    <s v="I M Baseline (PVT) LTD"/>
    <x v="0"/>
    <x v="0"/>
    <s v="4227150761"/>
    <d v="2020-09-17T00:00:00"/>
    <n v="9"/>
    <x v="3"/>
    <n v="58819"/>
    <n v="58819"/>
    <n v="1524"/>
    <x v="22"/>
    <s v="779112410"/>
  </r>
  <r>
    <s v="190000854"/>
    <s v="I M Baseline (PVT) LTD"/>
    <x v="0"/>
    <x v="0"/>
    <s v="4227151045"/>
    <d v="2020-09-21T00:00:00"/>
    <n v="9"/>
    <x v="3"/>
    <n v="16848"/>
    <n v="16848"/>
    <n v="1520"/>
    <x v="23"/>
    <s v="779112410"/>
  </r>
  <r>
    <s v="190000854"/>
    <s v="I M Baseline (PVT) LTD"/>
    <x v="0"/>
    <x v="0"/>
    <s v="4227152883"/>
    <d v="2020-10-03T00:00:00"/>
    <n v="10"/>
    <x v="3"/>
    <n v="55404"/>
    <n v="55404"/>
    <n v="1508"/>
    <x v="24"/>
    <s v="779112410"/>
  </r>
  <r>
    <s v="190000854"/>
    <s v="I M Baseline (PVT) LTD"/>
    <x v="0"/>
    <x v="0"/>
    <s v="4227153912"/>
    <d v="2020-10-13T00:00:00"/>
    <n v="10"/>
    <x v="3"/>
    <n v="78961"/>
    <n v="78961"/>
    <n v="1498"/>
    <x v="25"/>
    <s v="779112410"/>
  </r>
  <r>
    <s v="190000854"/>
    <s v="I M Baseline (PVT) LTD"/>
    <x v="0"/>
    <x v="0"/>
    <s v="5227009973"/>
    <d v="2021-05-10T00:00:00"/>
    <n v="5"/>
    <x v="4"/>
    <n v="-7776"/>
    <n v="-7776"/>
    <n v="1289"/>
    <x v="26"/>
    <s v="779112410"/>
  </r>
  <r>
    <s v="190000854"/>
    <s v="I M Baseline (PVT) LTD"/>
    <x v="0"/>
    <x v="0"/>
    <s v="5227009974"/>
    <d v="2021-05-10T00:00:00"/>
    <n v="5"/>
    <x v="4"/>
    <n v="-13223"/>
    <n v="-13223"/>
    <n v="1289"/>
    <x v="27"/>
    <s v="779112410"/>
  </r>
  <r>
    <s v="190000854"/>
    <s v="I M Baseline (PVT) LTD"/>
    <x v="0"/>
    <x v="0"/>
    <s v="5227009975"/>
    <d v="2021-05-10T00:00:00"/>
    <n v="5"/>
    <x v="4"/>
    <n v="-6534"/>
    <n v="-6534"/>
    <n v="1289"/>
    <x v="28"/>
    <s v="779112410"/>
  </r>
  <r>
    <s v="190000854"/>
    <s v="I M Baseline (PVT) LTD"/>
    <x v="0"/>
    <x v="0"/>
    <s v="5227010082"/>
    <d v="2021-05-31T00:00:00"/>
    <n v="5"/>
    <x v="4"/>
    <n v="-66231"/>
    <n v="-66231"/>
    <n v="1268"/>
    <x v="29"/>
    <s v="779112410"/>
  </r>
  <r>
    <s v="190000880"/>
    <s v="Arabian Motors (Pvt) Ltd"/>
    <x v="0"/>
    <x v="0"/>
    <s v=""/>
    <d v="2024-05-10T00:00:00"/>
    <n v="5"/>
    <x v="1"/>
    <n v="3881"/>
    <n v="3881"/>
    <n v="193"/>
    <x v="30"/>
    <s v="0117590690"/>
  </r>
  <r>
    <s v="190000880"/>
    <s v="Arabian Motors (Pvt) Ltd"/>
    <x v="0"/>
    <x v="0"/>
    <s v="237976 / 870518"/>
    <d v="2024-10-28T00:00:00"/>
    <n v="10"/>
    <x v="1"/>
    <n v="-3304.2"/>
    <n v="-3304.2"/>
    <n v="22"/>
    <x v="3"/>
    <s v="0117590690"/>
  </r>
  <r>
    <s v="190000880"/>
    <s v="Arabian Motors (Pvt) Ltd"/>
    <x v="0"/>
    <x v="0"/>
    <s v="4227280073"/>
    <d v="2024-05-10T00:00:00"/>
    <n v="5"/>
    <x v="1"/>
    <n v="64570"/>
    <n v="64570"/>
    <n v="193"/>
    <x v="31"/>
    <s v="0117590690"/>
  </r>
  <r>
    <s v="190000880"/>
    <s v="Arabian Motors (Pvt) Ltd"/>
    <x v="0"/>
    <x v="0"/>
    <s v="4227281240"/>
    <d v="2024-05-21T00:00:00"/>
    <n v="5"/>
    <x v="1"/>
    <n v="27577"/>
    <n v="27577"/>
    <n v="182"/>
    <x v="32"/>
    <s v="0117590690"/>
  </r>
  <r>
    <s v="190000880"/>
    <s v="Arabian Motors (Pvt) Ltd"/>
    <x v="0"/>
    <x v="0"/>
    <s v="4227289102"/>
    <d v="2024-07-25T00:00:00"/>
    <n v="7"/>
    <x v="1"/>
    <n v="7080"/>
    <n v="7080"/>
    <n v="117"/>
    <x v="33"/>
    <s v="0117590690"/>
  </r>
  <r>
    <s v="190000880"/>
    <s v="Arabian Motors (Pvt) Ltd"/>
    <x v="0"/>
    <x v="0"/>
    <s v="4227289481"/>
    <d v="2024-07-29T00:00:00"/>
    <n v="7"/>
    <x v="1"/>
    <n v="112147"/>
    <n v="56073"/>
    <n v="113"/>
    <x v="34"/>
    <s v="0117590690"/>
  </r>
  <r>
    <s v="190000880"/>
    <s v="Arabian Motors (Pvt) Ltd"/>
    <x v="0"/>
    <x v="0"/>
    <s v="4227303737"/>
    <d v="2024-10-31T00:00:00"/>
    <n v="10"/>
    <x v="1"/>
    <n v="60605"/>
    <n v="60605"/>
    <n v="19"/>
    <x v="3"/>
    <s v="0117590690"/>
  </r>
  <r>
    <s v="190000880"/>
    <s v="Arabian Motors (Pvt) Ltd"/>
    <x v="0"/>
    <x v="0"/>
    <s v="4227303738"/>
    <d v="2024-10-31T00:00:00"/>
    <n v="10"/>
    <x v="1"/>
    <n v="41737"/>
    <n v="41737"/>
    <n v="19"/>
    <x v="3"/>
    <s v="0117590690"/>
  </r>
  <r>
    <s v="190000880"/>
    <s v="Arabian Motors (Pvt) Ltd"/>
    <x v="0"/>
    <x v="0"/>
    <s v="4227303763"/>
    <d v="2024-10-31T00:00:00"/>
    <n v="10"/>
    <x v="1"/>
    <n v="28320"/>
    <n v="28320"/>
    <n v="19"/>
    <x v="3"/>
    <s v="0117590690"/>
  </r>
  <r>
    <s v="190000880"/>
    <s v="Arabian Motors (Pvt) Ltd"/>
    <x v="0"/>
    <x v="0"/>
    <s v="4227305411"/>
    <d v="2024-11-11T00:00:00"/>
    <n v="11"/>
    <x v="1"/>
    <n v="32285"/>
    <n v="32285"/>
    <n v="8"/>
    <x v="3"/>
    <s v="0117590690"/>
  </r>
  <r>
    <s v="190000880"/>
    <s v="Arabian Motors (Pvt) Ltd"/>
    <x v="0"/>
    <x v="0"/>
    <s v="5227014554"/>
    <d v="2024-02-21T00:00:00"/>
    <n v="2"/>
    <x v="1"/>
    <n v="-13915"/>
    <n v="-13915"/>
    <n v="272"/>
    <x v="35"/>
    <s v="0117590690"/>
  </r>
  <r>
    <s v="190000911"/>
    <s v="Mag City (Pvt) Ltd"/>
    <x v="0"/>
    <x v="0"/>
    <s v="231339/083418"/>
    <d v="2024-09-30T00:00:00"/>
    <n v="9"/>
    <x v="1"/>
    <n v="-69384"/>
    <n v="-69384"/>
    <n v="50"/>
    <x v="3"/>
    <s v="0777912121"/>
  </r>
  <r>
    <s v="190000911"/>
    <s v="Mag City (Pvt) Ltd"/>
    <x v="0"/>
    <x v="0"/>
    <s v="4227248739"/>
    <d v="2023-07-27T00:00:00"/>
    <n v="7"/>
    <x v="0"/>
    <n v="49183"/>
    <n v="16063"/>
    <n v="481"/>
    <x v="36"/>
    <s v="0777912121"/>
  </r>
  <r>
    <s v="190000911"/>
    <s v="Mag City (Pvt) Ltd"/>
    <x v="0"/>
    <x v="0"/>
    <s v="4227281353"/>
    <d v="2024-05-21T00:00:00"/>
    <n v="5"/>
    <x v="1"/>
    <n v="69384"/>
    <n v="69384"/>
    <n v="182"/>
    <x v="37"/>
    <s v="0777912121"/>
  </r>
  <r>
    <s v="190000911"/>
    <s v="Mag City (Pvt) Ltd"/>
    <x v="0"/>
    <x v="0"/>
    <s v="4227285520"/>
    <d v="2024-06-28T00:00:00"/>
    <n v="6"/>
    <x v="1"/>
    <n v="50000"/>
    <n v="50000"/>
    <n v="144"/>
    <x v="38"/>
    <s v="0777912121"/>
  </r>
  <r>
    <s v="190000911"/>
    <s v="Mag City (Pvt) Ltd"/>
    <x v="0"/>
    <x v="0"/>
    <s v="4227285762"/>
    <d v="2024-06-29T00:00:00"/>
    <n v="6"/>
    <x v="1"/>
    <n v="27140"/>
    <n v="27140"/>
    <n v="143"/>
    <x v="39"/>
    <s v="0777912121"/>
  </r>
  <r>
    <s v="190000911"/>
    <s v="Mag City (Pvt) Ltd"/>
    <x v="0"/>
    <x v="0"/>
    <s v="4227291420"/>
    <d v="2024-08-08T00:00:00"/>
    <n v="8"/>
    <x v="1"/>
    <n v="99999"/>
    <n v="99999"/>
    <n v="103"/>
    <x v="40"/>
    <s v="0777912121"/>
  </r>
  <r>
    <s v="190000911"/>
    <s v="Mag City (Pvt) Ltd"/>
    <x v="0"/>
    <x v="0"/>
    <s v="4227298671"/>
    <d v="2024-09-30T00:00:00"/>
    <n v="9"/>
    <x v="1"/>
    <n v="89798"/>
    <n v="89798"/>
    <n v="50"/>
    <x v="3"/>
    <s v="0777912121"/>
  </r>
  <r>
    <s v="190000911"/>
    <s v="Mag City (Pvt) Ltd"/>
    <x v="0"/>
    <x v="0"/>
    <s v="4227300028"/>
    <d v="2024-10-10T00:00:00"/>
    <n v="10"/>
    <x v="1"/>
    <n v="99545"/>
    <n v="99545"/>
    <n v="40"/>
    <x v="3"/>
    <s v="0777912121"/>
  </r>
  <r>
    <s v="190000911"/>
    <s v="Mag City (Pvt) Ltd"/>
    <x v="0"/>
    <x v="0"/>
    <s v="4227302306"/>
    <d v="2024-10-25T00:00:00"/>
    <n v="10"/>
    <x v="1"/>
    <n v="64570"/>
    <n v="64570"/>
    <n v="25"/>
    <x v="3"/>
    <s v="0777912121"/>
  </r>
  <r>
    <s v="190000911"/>
    <s v="Mag City (Pvt) Ltd"/>
    <x v="0"/>
    <x v="0"/>
    <s v="4227302347"/>
    <d v="2024-10-25T00:00:00"/>
    <n v="10"/>
    <x v="1"/>
    <n v="41135"/>
    <n v="41135"/>
    <n v="25"/>
    <x v="3"/>
    <s v="0777912121"/>
  </r>
  <r>
    <s v="190000911"/>
    <s v="Mag City (Pvt) Ltd"/>
    <x v="0"/>
    <x v="0"/>
    <s v="5227015947"/>
    <d v="2024-11-18T00:00:00"/>
    <n v="11"/>
    <x v="1"/>
    <n v="-16394"/>
    <n v="-16394"/>
    <n v="1"/>
    <x v="3"/>
    <s v="0777912121"/>
  </r>
  <r>
    <s v="190000970"/>
    <s v="Magcity Accessories (PVT) Ltd"/>
    <x v="0"/>
    <x v="0"/>
    <s v="4227242573"/>
    <d v="2023-05-26T00:00:00"/>
    <n v="5"/>
    <x v="0"/>
    <n v="57500"/>
    <n v="500"/>
    <n v="543"/>
    <x v="41"/>
    <s v="777633563"/>
  </r>
  <r>
    <s v="190000970"/>
    <s v="Magcity Accessories (PVT) Ltd"/>
    <x v="0"/>
    <x v="0"/>
    <s v="4227304470"/>
    <d v="2024-10-31T00:00:00"/>
    <n v="10"/>
    <x v="1"/>
    <n v="81420"/>
    <n v="81420"/>
    <n v="19"/>
    <x v="3"/>
    <s v="777633563"/>
  </r>
  <r>
    <s v="190000992"/>
    <s v="Stafford Motor Company"/>
    <x v="0"/>
    <x v="0"/>
    <s v="4227193303"/>
    <d v="2021-11-23T00:00:00"/>
    <n v="11"/>
    <x v="4"/>
    <n v="2376"/>
    <n v="2376"/>
    <n v="1092"/>
    <x v="42"/>
    <s v="114723633"/>
  </r>
  <r>
    <s v="190000992"/>
    <s v="Stafford Motor Company"/>
    <x v="0"/>
    <x v="0"/>
    <s v="4227273264"/>
    <d v="2024-02-29T00:00:00"/>
    <n v="2"/>
    <x v="1"/>
    <n v="18012"/>
    <n v="9012"/>
    <n v="264"/>
    <x v="43"/>
    <s v="114723633"/>
  </r>
  <r>
    <s v="190001052"/>
    <s v="Edirisinghe Brothers (Private) Limi"/>
    <x v="0"/>
    <x v="0"/>
    <s v=""/>
    <d v="2018-10-17T00:00:00"/>
    <n v="10"/>
    <x v="2"/>
    <n v="-435.44"/>
    <n v="-267.08999999999997"/>
    <n v="2225"/>
    <x v="44"/>
    <s v="0774777999"/>
  </r>
  <r>
    <s v="190001052"/>
    <s v="Edirisinghe Brothers (Private) Limi"/>
    <x v="0"/>
    <x v="0"/>
    <s v="4227288877"/>
    <d v="2024-07-24T00:00:00"/>
    <n v="7"/>
    <x v="1"/>
    <n v="12154"/>
    <n v="12154"/>
    <n v="118"/>
    <x v="45"/>
    <s v="0774777999"/>
  </r>
  <r>
    <s v="190002516"/>
    <s v="Milroy Auto Engineers"/>
    <x v="0"/>
    <x v="0"/>
    <s v="4227110255"/>
    <d v="2019-07-26T00:00:00"/>
    <n v="7"/>
    <x v="5"/>
    <n v="115863"/>
    <n v="115863"/>
    <n v="1943"/>
    <x v="46"/>
    <s v="112913465"/>
  </r>
  <r>
    <s v="190002516"/>
    <s v="Milroy Auto Engineers"/>
    <x v="0"/>
    <x v="0"/>
    <s v="4227115812"/>
    <d v="2019-09-12T00:00:00"/>
    <n v="9"/>
    <x v="5"/>
    <n v="87113"/>
    <n v="87113"/>
    <n v="1895"/>
    <x v="47"/>
    <s v="112913465"/>
  </r>
  <r>
    <s v="190002516"/>
    <s v="Milroy Auto Engineers"/>
    <x v="0"/>
    <x v="0"/>
    <s v="4227127876"/>
    <d v="2019-12-27T00:00:00"/>
    <n v="12"/>
    <x v="5"/>
    <n v="972000"/>
    <n v="72000"/>
    <n v="1789"/>
    <x v="48"/>
    <s v="112913465"/>
  </r>
  <r>
    <s v="190002516"/>
    <s v="Milroy Auto Engineers"/>
    <x v="0"/>
    <x v="0"/>
    <s v="4227152055"/>
    <d v="2020-09-26T00:00:00"/>
    <n v="9"/>
    <x v="3"/>
    <n v="129600"/>
    <n v="25896"/>
    <n v="1515"/>
    <x v="49"/>
    <s v="112913465"/>
  </r>
  <r>
    <s v="190002516"/>
    <s v="Milroy Auto Engineers"/>
    <x v="0"/>
    <x v="0"/>
    <s v="4227152600"/>
    <d v="2020-09-30T00:00:00"/>
    <n v="9"/>
    <x v="3"/>
    <n v="10692"/>
    <n v="10692"/>
    <n v="1511"/>
    <x v="50"/>
    <s v="112913465"/>
  </r>
  <r>
    <s v="190002516"/>
    <s v="Milroy Auto Engineers"/>
    <x v="0"/>
    <x v="0"/>
    <s v="4227155784"/>
    <d v="2020-10-31T00:00:00"/>
    <n v="10"/>
    <x v="3"/>
    <n v="51192"/>
    <n v="51192"/>
    <n v="1480"/>
    <x v="51"/>
    <s v="112913465"/>
  </r>
  <r>
    <s v="190002516"/>
    <s v="Milroy Auto Engineers"/>
    <x v="0"/>
    <x v="0"/>
    <s v="4227244491"/>
    <d v="2023-06-15T00:00:00"/>
    <n v="6"/>
    <x v="0"/>
    <n v="8625"/>
    <n v="8625"/>
    <n v="523"/>
    <x v="52"/>
    <s v="112913465"/>
  </r>
  <r>
    <s v="190002516"/>
    <s v="Milroy Auto Engineers"/>
    <x v="0"/>
    <x v="0"/>
    <s v="4227264583"/>
    <d v="2023-12-13T00:00:00"/>
    <n v="12"/>
    <x v="0"/>
    <n v="9775"/>
    <n v="9775"/>
    <n v="342"/>
    <x v="53"/>
    <s v="112913465"/>
  </r>
  <r>
    <s v="190002516"/>
    <s v="Milroy Auto Engineers"/>
    <x v="0"/>
    <x v="0"/>
    <s v="4227267084"/>
    <d v="2024-01-08T00:00:00"/>
    <n v="1"/>
    <x v="1"/>
    <n v="14573"/>
    <n v="14573"/>
    <n v="316"/>
    <x v="54"/>
    <s v="112913465"/>
  </r>
  <r>
    <s v="190002516"/>
    <s v="Milroy Auto Engineers"/>
    <x v="0"/>
    <x v="0"/>
    <s v="4227268850"/>
    <d v="2024-01-26T00:00:00"/>
    <n v="1"/>
    <x v="1"/>
    <n v="104428"/>
    <n v="104428"/>
    <n v="298"/>
    <x v="55"/>
    <s v="112913465"/>
  </r>
  <r>
    <s v="190002516"/>
    <s v="Milroy Auto Engineers"/>
    <x v="0"/>
    <x v="0"/>
    <s v="4227268905"/>
    <d v="2024-01-26T00:00:00"/>
    <n v="1"/>
    <x v="1"/>
    <n v="59472"/>
    <n v="59472"/>
    <n v="298"/>
    <x v="56"/>
    <s v="112913465"/>
  </r>
  <r>
    <s v="190002516"/>
    <s v="Milroy Auto Engineers"/>
    <x v="0"/>
    <x v="0"/>
    <s v="4227277542"/>
    <d v="2024-04-09T00:00:00"/>
    <n v="4"/>
    <x v="1"/>
    <n v="23541"/>
    <n v="23541"/>
    <n v="224"/>
    <x v="57"/>
    <s v="112913465"/>
  </r>
  <r>
    <s v="190002516"/>
    <s v="Milroy Auto Engineers"/>
    <x v="0"/>
    <x v="0"/>
    <s v="4227279910"/>
    <d v="2024-05-09T00:00:00"/>
    <n v="5"/>
    <x v="1"/>
    <n v="34943"/>
    <n v="34943"/>
    <n v="194"/>
    <x v="58"/>
    <s v="112913465"/>
  </r>
  <r>
    <s v="190002516"/>
    <s v="Milroy Auto Engineers"/>
    <x v="0"/>
    <x v="0"/>
    <s v="4227287071"/>
    <d v="2024-07-12T00:00:00"/>
    <n v="7"/>
    <x v="1"/>
    <n v="10030"/>
    <n v="10030"/>
    <n v="130"/>
    <x v="59"/>
    <s v="112913465"/>
  </r>
  <r>
    <s v="190002516"/>
    <s v="Milroy Auto Engineers"/>
    <x v="0"/>
    <x v="0"/>
    <s v="4227292075"/>
    <d v="2024-08-14T00:00:00"/>
    <n v="8"/>
    <x v="1"/>
    <n v="59472"/>
    <n v="59472"/>
    <n v="97"/>
    <x v="56"/>
    <s v="112913465"/>
  </r>
  <r>
    <s v="190002516"/>
    <s v="Milroy Auto Engineers"/>
    <x v="0"/>
    <x v="0"/>
    <s v="4227293587"/>
    <d v="2024-08-26T00:00:00"/>
    <n v="8"/>
    <x v="1"/>
    <n v="51876"/>
    <n v="51876"/>
    <n v="85"/>
    <x v="3"/>
    <s v="112913465"/>
  </r>
  <r>
    <s v="190002516"/>
    <s v="Milroy Auto Engineers"/>
    <x v="0"/>
    <x v="0"/>
    <s v="4227293588"/>
    <d v="2024-08-26T00:00:00"/>
    <n v="8"/>
    <x v="1"/>
    <n v="16647"/>
    <n v="16647"/>
    <n v="85"/>
    <x v="3"/>
    <s v="112913465"/>
  </r>
  <r>
    <s v="190002516"/>
    <s v="Milroy Auto Engineers"/>
    <x v="0"/>
    <x v="0"/>
    <s v="4227293913"/>
    <d v="2024-08-28T00:00:00"/>
    <n v="8"/>
    <x v="1"/>
    <n v="9956"/>
    <n v="9956"/>
    <n v="83"/>
    <x v="3"/>
    <s v="112913465"/>
  </r>
  <r>
    <s v="190002516"/>
    <s v="Milroy Auto Engineers"/>
    <x v="0"/>
    <x v="0"/>
    <s v="4227302157"/>
    <d v="2024-10-24T00:00:00"/>
    <n v="10"/>
    <x v="1"/>
    <n v="9775"/>
    <n v="9775"/>
    <n v="26"/>
    <x v="3"/>
    <s v="112913465"/>
  </r>
  <r>
    <s v="190002516"/>
    <s v="Milroy Auto Engineers"/>
    <x v="0"/>
    <x v="0"/>
    <s v="4227302174"/>
    <d v="2024-10-24T00:00:00"/>
    <n v="10"/>
    <x v="1"/>
    <n v="8625"/>
    <n v="8625"/>
    <n v="26"/>
    <x v="3"/>
    <s v="112913465"/>
  </r>
  <r>
    <s v="190002516"/>
    <s v="Milroy Auto Engineers"/>
    <x v="0"/>
    <x v="0"/>
    <s v="4227302221"/>
    <d v="2024-10-24T00:00:00"/>
    <n v="10"/>
    <x v="1"/>
    <n v="91686"/>
    <n v="91686"/>
    <n v="26"/>
    <x v="3"/>
    <s v="112913465"/>
  </r>
  <r>
    <s v="190002516"/>
    <s v="Milroy Auto Engineers"/>
    <x v="0"/>
    <x v="0"/>
    <s v="5227015955"/>
    <d v="2024-11-18T00:00:00"/>
    <n v="11"/>
    <x v="1"/>
    <n v="-23541"/>
    <n v="-23541"/>
    <n v="1"/>
    <x v="3"/>
    <s v="112913465"/>
  </r>
  <r>
    <s v="190002563"/>
    <s v="Micro Cars LTD"/>
    <x v="0"/>
    <x v="0"/>
    <s v=""/>
    <d v="2022-03-12T00:00:00"/>
    <n v="3"/>
    <x v="6"/>
    <n v="-9331"/>
    <n v="-9331"/>
    <n v="983"/>
    <x v="60"/>
    <s v="0773667669"/>
  </r>
  <r>
    <s v="190002563"/>
    <s v="Micro Cars LTD"/>
    <x v="0"/>
    <x v="0"/>
    <s v=""/>
    <d v="2022-05-02T00:00:00"/>
    <n v="5"/>
    <x v="6"/>
    <n v="-935.04"/>
    <n v="-935.04"/>
    <n v="932"/>
    <x v="61"/>
    <s v="0773667669"/>
  </r>
  <r>
    <s v="190002563"/>
    <s v="Micro Cars LTD"/>
    <x v="0"/>
    <x v="0"/>
    <s v=""/>
    <d v="2018-10-22T00:00:00"/>
    <n v="10"/>
    <x v="2"/>
    <n v="2599"/>
    <n v="2599"/>
    <n v="2220"/>
    <x v="62"/>
    <s v="0773667669"/>
  </r>
  <r>
    <s v="190002563"/>
    <s v="Micro Cars LTD"/>
    <x v="0"/>
    <x v="0"/>
    <s v="231337 / 073818"/>
    <d v="2024-09-30T00:00:00"/>
    <n v="9"/>
    <x v="1"/>
    <n v="-59413"/>
    <n v="-59413"/>
    <n v="50"/>
    <x v="3"/>
    <s v="0773667669"/>
  </r>
  <r>
    <s v="190002563"/>
    <s v="Micro Cars LTD"/>
    <x v="0"/>
    <x v="0"/>
    <s v="4227098371"/>
    <d v="2019-03-27T00:00:00"/>
    <n v="3"/>
    <x v="5"/>
    <n v="14476"/>
    <n v="2324.98"/>
    <n v="2064"/>
    <x v="63"/>
    <s v="0773667669"/>
  </r>
  <r>
    <s v="190002563"/>
    <s v="Micro Cars LTD"/>
    <x v="0"/>
    <x v="0"/>
    <s v="4227098597"/>
    <d v="2019-03-29T00:00:00"/>
    <n v="3"/>
    <x v="5"/>
    <n v="46992"/>
    <n v="46992"/>
    <n v="2062"/>
    <x v="64"/>
    <s v="0773667669"/>
  </r>
  <r>
    <s v="190002563"/>
    <s v="Micro Cars LTD"/>
    <x v="0"/>
    <x v="0"/>
    <s v="4227100172"/>
    <d v="2019-04-10T00:00:00"/>
    <n v="4"/>
    <x v="5"/>
    <n v="39123"/>
    <n v="39123"/>
    <n v="2050"/>
    <x v="65"/>
    <s v="0773667669"/>
  </r>
  <r>
    <s v="190002563"/>
    <s v="Micro Cars LTD"/>
    <x v="0"/>
    <x v="0"/>
    <s v="4227107750"/>
    <d v="2019-07-03T00:00:00"/>
    <n v="7"/>
    <x v="5"/>
    <n v="17250"/>
    <n v="17250"/>
    <n v="1966"/>
    <x v="4"/>
    <s v="0773667669"/>
  </r>
  <r>
    <s v="190002563"/>
    <s v="Micro Cars LTD"/>
    <x v="0"/>
    <x v="0"/>
    <s v="4227109561"/>
    <d v="2019-07-22T00:00:00"/>
    <n v="7"/>
    <x v="5"/>
    <n v="44850"/>
    <n v="44850"/>
    <n v="1947"/>
    <x v="66"/>
    <s v="0773667669"/>
  </r>
  <r>
    <s v="190002563"/>
    <s v="Micro Cars LTD"/>
    <x v="0"/>
    <x v="0"/>
    <s v="4227109678"/>
    <d v="2019-07-23T00:00:00"/>
    <n v="7"/>
    <x v="5"/>
    <n v="26910"/>
    <n v="26910"/>
    <n v="1946"/>
    <x v="67"/>
    <s v="0773667669"/>
  </r>
  <r>
    <s v="190002563"/>
    <s v="Micro Cars LTD"/>
    <x v="0"/>
    <x v="0"/>
    <s v="4227113132"/>
    <d v="2019-08-22T00:00:00"/>
    <n v="8"/>
    <x v="5"/>
    <n v="2484"/>
    <n v="494.04"/>
    <n v="1916"/>
    <x v="68"/>
    <s v="0773667669"/>
  </r>
  <r>
    <s v="190002563"/>
    <s v="Micro Cars LTD"/>
    <x v="0"/>
    <x v="0"/>
    <s v="4227113134"/>
    <d v="2019-08-22T00:00:00"/>
    <n v="8"/>
    <x v="5"/>
    <n v="2484"/>
    <n v="2484"/>
    <n v="1916"/>
    <x v="69"/>
    <s v="0773667669"/>
  </r>
  <r>
    <s v="190002563"/>
    <s v="Micro Cars LTD"/>
    <x v="0"/>
    <x v="0"/>
    <s v="4227200155"/>
    <d v="2022-01-21T00:00:00"/>
    <n v="1"/>
    <x v="6"/>
    <n v="114842"/>
    <n v="3240.34"/>
    <n v="1033"/>
    <x v="70"/>
    <s v="0773667669"/>
  </r>
  <r>
    <s v="190002563"/>
    <s v="Micro Cars LTD"/>
    <x v="0"/>
    <x v="0"/>
    <s v="4227212935"/>
    <d v="2022-06-07T00:00:00"/>
    <n v="6"/>
    <x v="6"/>
    <n v="57826"/>
    <n v="2065.6"/>
    <n v="896"/>
    <x v="71"/>
    <s v="0773667669"/>
  </r>
  <r>
    <s v="190002563"/>
    <s v="Micro Cars LTD"/>
    <x v="0"/>
    <x v="0"/>
    <s v="4227263990"/>
    <d v="2023-12-07T00:00:00"/>
    <n v="12"/>
    <x v="0"/>
    <n v="56350"/>
    <n v="56350"/>
    <n v="348"/>
    <x v="72"/>
    <s v="0773667669"/>
  </r>
  <r>
    <s v="190002563"/>
    <s v="Micro Cars LTD"/>
    <x v="0"/>
    <x v="0"/>
    <s v="4227264285"/>
    <d v="2023-12-12T00:00:00"/>
    <n v="12"/>
    <x v="0"/>
    <n v="85100"/>
    <n v="85100"/>
    <n v="343"/>
    <x v="73"/>
    <s v="0773667669"/>
  </r>
  <r>
    <s v="190002563"/>
    <s v="Micro Cars LTD"/>
    <x v="0"/>
    <x v="0"/>
    <s v="4227274864"/>
    <d v="2024-03-18T00:00:00"/>
    <n v="3"/>
    <x v="1"/>
    <n v="122550"/>
    <n v="122550"/>
    <n v="246"/>
    <x v="74"/>
    <s v="0773667669"/>
  </r>
  <r>
    <s v="190002563"/>
    <s v="Micro Cars LTD"/>
    <x v="0"/>
    <x v="0"/>
    <s v="4227276084"/>
    <d v="2024-03-27T00:00:00"/>
    <n v="3"/>
    <x v="1"/>
    <n v="38350"/>
    <n v="0.3"/>
    <n v="237"/>
    <x v="75"/>
    <s v="0773667669"/>
  </r>
  <r>
    <s v="190002563"/>
    <s v="Micro Cars LTD"/>
    <x v="0"/>
    <x v="0"/>
    <s v="4227280076"/>
    <d v="2024-05-10T00:00:00"/>
    <n v="5"/>
    <x v="1"/>
    <n v="11158"/>
    <n v="0.17"/>
    <n v="193"/>
    <x v="76"/>
    <s v="0773667669"/>
  </r>
  <r>
    <s v="190002563"/>
    <s v="Micro Cars LTD"/>
    <x v="0"/>
    <x v="0"/>
    <s v="4227280897"/>
    <d v="2024-05-17T00:00:00"/>
    <n v="5"/>
    <x v="1"/>
    <n v="60180"/>
    <n v="60180"/>
    <n v="186"/>
    <x v="77"/>
    <s v="0773667669"/>
  </r>
  <r>
    <s v="190002563"/>
    <s v="Micro Cars LTD"/>
    <x v="0"/>
    <x v="0"/>
    <s v="4227283785"/>
    <d v="2024-06-13T00:00:00"/>
    <n v="6"/>
    <x v="1"/>
    <n v="35105"/>
    <n v="35105"/>
    <n v="159"/>
    <x v="78"/>
    <s v="0773667669"/>
  </r>
  <r>
    <s v="190002563"/>
    <s v="Micro Cars LTD"/>
    <x v="0"/>
    <x v="0"/>
    <s v="4227284068"/>
    <d v="2024-06-17T00:00:00"/>
    <n v="6"/>
    <x v="1"/>
    <n v="10915"/>
    <n v="10915"/>
    <n v="155"/>
    <x v="79"/>
    <s v="0773667669"/>
  </r>
  <r>
    <s v="190002563"/>
    <s v="Micro Cars LTD"/>
    <x v="0"/>
    <x v="0"/>
    <s v="4227284968"/>
    <d v="2024-06-26T00:00:00"/>
    <n v="6"/>
    <x v="1"/>
    <n v="7692"/>
    <n v="7692"/>
    <n v="146"/>
    <x v="80"/>
    <s v="0773667669"/>
  </r>
  <r>
    <s v="190002563"/>
    <s v="Micro Cars LTD"/>
    <x v="0"/>
    <x v="0"/>
    <s v="4227285164"/>
    <d v="2024-06-28T00:00:00"/>
    <n v="6"/>
    <x v="1"/>
    <n v="57348"/>
    <n v="57348"/>
    <n v="144"/>
    <x v="81"/>
    <s v="0773667669"/>
  </r>
  <r>
    <s v="190002563"/>
    <s v="Micro Cars LTD"/>
    <x v="0"/>
    <x v="0"/>
    <s v="4227286212"/>
    <d v="2024-07-03T00:00:00"/>
    <n v="7"/>
    <x v="1"/>
    <n v="68440"/>
    <n v="68440"/>
    <n v="139"/>
    <x v="82"/>
    <s v="0773667669"/>
  </r>
  <r>
    <s v="190002563"/>
    <s v="Micro Cars LTD"/>
    <x v="0"/>
    <x v="0"/>
    <s v="4227287418"/>
    <d v="2024-07-15T00:00:00"/>
    <n v="7"/>
    <x v="1"/>
    <n v="16355"/>
    <n v="0.2"/>
    <n v="127"/>
    <x v="83"/>
    <s v="0773667669"/>
  </r>
  <r>
    <s v="190002563"/>
    <s v="Micro Cars LTD"/>
    <x v="0"/>
    <x v="0"/>
    <s v="4227287811"/>
    <d v="2024-07-18T00:00:00"/>
    <n v="7"/>
    <x v="1"/>
    <n v="11505"/>
    <n v="11505"/>
    <n v="124"/>
    <x v="84"/>
    <s v="0773667669"/>
  </r>
  <r>
    <s v="190002563"/>
    <s v="Micro Cars LTD"/>
    <x v="0"/>
    <x v="0"/>
    <s v="4227287926"/>
    <d v="2024-07-18T00:00:00"/>
    <n v="7"/>
    <x v="1"/>
    <n v="68440"/>
    <n v="68440"/>
    <n v="124"/>
    <x v="82"/>
    <s v="0773667669"/>
  </r>
  <r>
    <s v="190002563"/>
    <s v="Micro Cars LTD"/>
    <x v="0"/>
    <x v="0"/>
    <s v="4227289840"/>
    <d v="2024-07-30T00:00:00"/>
    <n v="7"/>
    <x v="1"/>
    <n v="87320"/>
    <n v="87320"/>
    <n v="112"/>
    <x v="85"/>
    <s v="0773667669"/>
  </r>
  <r>
    <s v="190002563"/>
    <s v="Micro Cars LTD"/>
    <x v="0"/>
    <x v="0"/>
    <s v="4227289979"/>
    <d v="2024-07-31T00:00:00"/>
    <n v="7"/>
    <x v="1"/>
    <n v="87320"/>
    <n v="87320"/>
    <n v="111"/>
    <x v="85"/>
    <s v="0773667669"/>
  </r>
  <r>
    <s v="190002563"/>
    <s v="Micro Cars LTD"/>
    <x v="0"/>
    <x v="0"/>
    <s v="4227290009"/>
    <d v="2024-07-31T00:00:00"/>
    <n v="7"/>
    <x v="1"/>
    <n v="70210"/>
    <n v="70210"/>
    <n v="111"/>
    <x v="86"/>
    <s v="0773667669"/>
  </r>
  <r>
    <s v="190002563"/>
    <s v="Micro Cars LTD"/>
    <x v="0"/>
    <x v="0"/>
    <s v="4227290027"/>
    <d v="2024-07-31T00:00:00"/>
    <n v="7"/>
    <x v="1"/>
    <n v="27895"/>
    <n v="27895"/>
    <n v="111"/>
    <x v="87"/>
    <s v="0773667669"/>
  </r>
  <r>
    <s v="190002563"/>
    <s v="Micro Cars LTD"/>
    <x v="0"/>
    <x v="0"/>
    <s v="4227290047"/>
    <d v="2024-07-31T00:00:00"/>
    <n v="7"/>
    <x v="1"/>
    <n v="19647"/>
    <n v="19647"/>
    <n v="111"/>
    <x v="88"/>
    <s v="0773667669"/>
  </r>
  <r>
    <s v="190002563"/>
    <s v="Micro Cars LTD"/>
    <x v="0"/>
    <x v="0"/>
    <s v="4227290483"/>
    <d v="2024-07-31T00:00:00"/>
    <n v="7"/>
    <x v="1"/>
    <n v="14514"/>
    <n v="14514"/>
    <n v="111"/>
    <x v="89"/>
    <s v="0773667669"/>
  </r>
  <r>
    <s v="190002563"/>
    <s v="Micro Cars LTD"/>
    <x v="0"/>
    <x v="0"/>
    <s v="4227290827"/>
    <d v="2024-08-02T00:00:00"/>
    <n v="8"/>
    <x v="1"/>
    <n v="32745"/>
    <n v="32745"/>
    <n v="109"/>
    <x v="90"/>
    <s v="0773667669"/>
  </r>
  <r>
    <s v="190002563"/>
    <s v="Micro Cars LTD"/>
    <x v="0"/>
    <x v="0"/>
    <s v="4227290945"/>
    <d v="2024-08-05T00:00:00"/>
    <n v="8"/>
    <x v="1"/>
    <n v="13098"/>
    <n v="13098"/>
    <n v="106"/>
    <x v="91"/>
    <s v="0773667669"/>
  </r>
  <r>
    <s v="190002563"/>
    <s v="Micro Cars LTD"/>
    <x v="0"/>
    <x v="0"/>
    <s v="4227291205"/>
    <d v="2024-08-07T00:00:00"/>
    <n v="8"/>
    <x v="1"/>
    <n v="102660"/>
    <n v="102660"/>
    <n v="104"/>
    <x v="92"/>
    <s v="0773667669"/>
  </r>
  <r>
    <s v="190002563"/>
    <s v="Micro Cars LTD"/>
    <x v="0"/>
    <x v="0"/>
    <s v="4227291358"/>
    <d v="2024-08-08T00:00:00"/>
    <n v="8"/>
    <x v="1"/>
    <n v="70800"/>
    <n v="70800"/>
    <n v="103"/>
    <x v="93"/>
    <s v="0773667669"/>
  </r>
  <r>
    <s v="190002563"/>
    <s v="Micro Cars LTD"/>
    <x v="0"/>
    <x v="0"/>
    <s v="4227291497"/>
    <d v="2024-08-09T00:00:00"/>
    <n v="8"/>
    <x v="1"/>
    <n v="1293516"/>
    <n v="1293516"/>
    <n v="102"/>
    <x v="94"/>
    <s v="0773667669"/>
  </r>
  <r>
    <s v="190002563"/>
    <s v="Micro Cars LTD"/>
    <x v="0"/>
    <x v="0"/>
    <s v="4227291498"/>
    <d v="2024-08-09T00:00:00"/>
    <n v="8"/>
    <x v="1"/>
    <n v="123617"/>
    <n v="123617"/>
    <n v="102"/>
    <x v="95"/>
    <s v="0773667669"/>
  </r>
  <r>
    <s v="190002563"/>
    <s v="Micro Cars LTD"/>
    <x v="0"/>
    <x v="0"/>
    <s v="4227291499"/>
    <d v="2024-08-09T00:00:00"/>
    <n v="8"/>
    <x v="1"/>
    <n v="27895"/>
    <n v="27895"/>
    <n v="102"/>
    <x v="87"/>
    <s v="0773667669"/>
  </r>
  <r>
    <s v="190002563"/>
    <s v="Micro Cars LTD"/>
    <x v="0"/>
    <x v="0"/>
    <s v="4227291587"/>
    <d v="2024-08-09T00:00:00"/>
    <n v="8"/>
    <x v="1"/>
    <n v="70800"/>
    <n v="70800"/>
    <n v="102"/>
    <x v="93"/>
    <s v="0773667669"/>
  </r>
  <r>
    <s v="190002563"/>
    <s v="Micro Cars LTD"/>
    <x v="0"/>
    <x v="0"/>
    <s v="4227291903"/>
    <d v="2024-08-13T00:00:00"/>
    <n v="8"/>
    <x v="1"/>
    <n v="87320"/>
    <n v="87320"/>
    <n v="98"/>
    <x v="85"/>
    <s v="0773667669"/>
  </r>
  <r>
    <s v="190002563"/>
    <s v="Micro Cars LTD"/>
    <x v="0"/>
    <x v="0"/>
    <s v="4227292612"/>
    <d v="2024-08-20T00:00:00"/>
    <n v="8"/>
    <x v="1"/>
    <n v="36836"/>
    <n v="36836"/>
    <n v="91"/>
    <x v="96"/>
    <s v="0773667669"/>
  </r>
  <r>
    <s v="190002563"/>
    <s v="Micro Cars LTD"/>
    <x v="0"/>
    <x v="0"/>
    <s v="4227292613"/>
    <d v="2024-08-20T00:00:00"/>
    <n v="8"/>
    <x v="1"/>
    <n v="427302"/>
    <n v="427302"/>
    <n v="91"/>
    <x v="97"/>
    <s v="0773667669"/>
  </r>
  <r>
    <s v="190002563"/>
    <s v="Micro Cars LTD"/>
    <x v="0"/>
    <x v="0"/>
    <s v="4227292830"/>
    <d v="2024-08-21T00:00:00"/>
    <n v="8"/>
    <x v="1"/>
    <n v="102660"/>
    <n v="102660"/>
    <n v="90"/>
    <x v="92"/>
    <s v="0773667669"/>
  </r>
  <r>
    <s v="190002563"/>
    <s v="Micro Cars LTD"/>
    <x v="0"/>
    <x v="0"/>
    <s v="4227294361"/>
    <d v="2024-08-30T00:00:00"/>
    <n v="8"/>
    <x v="1"/>
    <n v="87320"/>
    <n v="87320"/>
    <n v="81"/>
    <x v="3"/>
    <s v="0773667669"/>
  </r>
  <r>
    <s v="190002563"/>
    <s v="Micro Cars LTD"/>
    <x v="0"/>
    <x v="0"/>
    <s v="4227295426"/>
    <d v="2024-09-04T00:00:00"/>
    <n v="9"/>
    <x v="1"/>
    <n v="87320"/>
    <n v="87320"/>
    <n v="76"/>
    <x v="3"/>
    <s v="0773667669"/>
  </r>
  <r>
    <s v="190002563"/>
    <s v="Micro Cars LTD"/>
    <x v="0"/>
    <x v="0"/>
    <s v="4227295491"/>
    <d v="2024-09-04T00:00:00"/>
    <n v="9"/>
    <x v="1"/>
    <n v="18290"/>
    <n v="18290"/>
    <n v="76"/>
    <x v="3"/>
    <s v="0773667669"/>
  </r>
  <r>
    <s v="190002563"/>
    <s v="Micro Cars LTD"/>
    <x v="0"/>
    <x v="0"/>
    <s v="4227296453"/>
    <d v="2024-09-13T00:00:00"/>
    <n v="9"/>
    <x v="1"/>
    <n v="35105"/>
    <n v="35105"/>
    <n v="67"/>
    <x v="3"/>
    <s v="0773667669"/>
  </r>
  <r>
    <s v="190002563"/>
    <s v="Micro Cars LTD"/>
    <x v="0"/>
    <x v="0"/>
    <s v="4227296767"/>
    <d v="2024-09-19T00:00:00"/>
    <n v="9"/>
    <x v="1"/>
    <n v="36836"/>
    <n v="36836"/>
    <n v="61"/>
    <x v="3"/>
    <s v="0773667669"/>
  </r>
  <r>
    <s v="190002563"/>
    <s v="Micro Cars LTD"/>
    <x v="0"/>
    <x v="0"/>
    <s v="4227296828"/>
    <d v="2024-09-20T00:00:00"/>
    <n v="9"/>
    <x v="1"/>
    <n v="189980"/>
    <n v="189980"/>
    <n v="60"/>
    <x v="3"/>
    <s v="0773667669"/>
  </r>
  <r>
    <s v="190002563"/>
    <s v="Micro Cars LTD"/>
    <x v="0"/>
    <x v="0"/>
    <s v="4227298494"/>
    <d v="2024-09-30T00:00:00"/>
    <n v="9"/>
    <x v="1"/>
    <n v="87320"/>
    <n v="87320"/>
    <n v="50"/>
    <x v="3"/>
    <s v="0773667669"/>
  </r>
  <r>
    <s v="190002563"/>
    <s v="Micro Cars LTD"/>
    <x v="0"/>
    <x v="0"/>
    <s v="4227300701"/>
    <d v="2024-10-15T00:00:00"/>
    <n v="10"/>
    <x v="1"/>
    <n v="8756"/>
    <n v="8756"/>
    <n v="35"/>
    <x v="3"/>
    <s v="0773667669"/>
  </r>
  <r>
    <s v="190002563"/>
    <s v="Micro Cars LTD"/>
    <x v="0"/>
    <x v="0"/>
    <s v="4227300702"/>
    <d v="2024-10-15T00:00:00"/>
    <n v="10"/>
    <x v="1"/>
    <n v="38350"/>
    <n v="38350"/>
    <n v="35"/>
    <x v="3"/>
    <s v="0773667669"/>
  </r>
  <r>
    <s v="190002563"/>
    <s v="Micro Cars LTD"/>
    <x v="0"/>
    <x v="0"/>
    <s v="4227300703"/>
    <d v="2024-10-15T00:00:00"/>
    <n v="10"/>
    <x v="1"/>
    <n v="43011"/>
    <n v="43011"/>
    <n v="35"/>
    <x v="3"/>
    <s v="0773667669"/>
  </r>
  <r>
    <s v="190002563"/>
    <s v="Micro Cars LTD"/>
    <x v="0"/>
    <x v="0"/>
    <s v="4227301088"/>
    <d v="2024-10-18T00:00:00"/>
    <n v="10"/>
    <x v="1"/>
    <n v="119180"/>
    <n v="119180"/>
    <n v="32"/>
    <x v="3"/>
    <s v="0773667669"/>
  </r>
  <r>
    <s v="190002563"/>
    <s v="Micro Cars LTD"/>
    <x v="0"/>
    <x v="0"/>
    <s v="4227302442"/>
    <d v="2024-10-26T00:00:00"/>
    <n v="10"/>
    <x v="1"/>
    <n v="206500"/>
    <n v="206500"/>
    <n v="24"/>
    <x v="3"/>
    <s v="0773667669"/>
  </r>
  <r>
    <s v="190002563"/>
    <s v="Micro Cars LTD"/>
    <x v="0"/>
    <x v="0"/>
    <s v="4227302449"/>
    <d v="2024-10-26T00:00:00"/>
    <n v="10"/>
    <x v="1"/>
    <n v="91332"/>
    <n v="91332"/>
    <n v="24"/>
    <x v="3"/>
    <s v="0773667669"/>
  </r>
  <r>
    <s v="190002563"/>
    <s v="Micro Cars LTD"/>
    <x v="0"/>
    <x v="0"/>
    <s v="4227302496"/>
    <d v="2024-10-26T00:00:00"/>
    <n v="10"/>
    <x v="1"/>
    <n v="87320"/>
    <n v="87320"/>
    <n v="24"/>
    <x v="3"/>
    <s v="0773667669"/>
  </r>
  <r>
    <s v="190002563"/>
    <s v="Micro Cars LTD"/>
    <x v="0"/>
    <x v="0"/>
    <s v="4227302548"/>
    <d v="2024-10-28T00:00:00"/>
    <n v="10"/>
    <x v="1"/>
    <n v="39860"/>
    <n v="39860"/>
    <n v="22"/>
    <x v="3"/>
    <s v="0773667669"/>
  </r>
  <r>
    <s v="190002563"/>
    <s v="Micro Cars LTD"/>
    <x v="0"/>
    <x v="0"/>
    <s v="4227302615"/>
    <d v="2024-10-28T00:00:00"/>
    <n v="10"/>
    <x v="1"/>
    <n v="45666"/>
    <n v="45666"/>
    <n v="22"/>
    <x v="3"/>
    <s v="0773667669"/>
  </r>
  <r>
    <s v="190002563"/>
    <s v="Micro Cars LTD"/>
    <x v="0"/>
    <x v="0"/>
    <s v="4227303094"/>
    <d v="2024-10-30T00:00:00"/>
    <n v="10"/>
    <x v="1"/>
    <n v="57525"/>
    <n v="57525"/>
    <n v="20"/>
    <x v="3"/>
    <s v="0773667669"/>
  </r>
  <r>
    <s v="190002563"/>
    <s v="Micro Cars LTD"/>
    <x v="0"/>
    <x v="0"/>
    <s v="4227304100"/>
    <d v="2024-10-31T00:00:00"/>
    <n v="10"/>
    <x v="1"/>
    <n v="206500"/>
    <n v="206500"/>
    <n v="19"/>
    <x v="3"/>
    <s v="0773667669"/>
  </r>
  <r>
    <s v="190002563"/>
    <s v="Micro Cars LTD"/>
    <x v="0"/>
    <x v="0"/>
    <s v="4227305076"/>
    <d v="2024-11-07T00:00:00"/>
    <n v="11"/>
    <x v="1"/>
    <n v="102660"/>
    <n v="102660"/>
    <n v="12"/>
    <x v="3"/>
    <s v="0773667669"/>
  </r>
  <r>
    <s v="190002563"/>
    <s v="Micro Cars LTD"/>
    <x v="0"/>
    <x v="0"/>
    <s v="4227305077"/>
    <d v="2024-11-07T00:00:00"/>
    <n v="11"/>
    <x v="1"/>
    <n v="28674"/>
    <n v="28674"/>
    <n v="12"/>
    <x v="3"/>
    <s v="0773667669"/>
  </r>
  <r>
    <s v="190002563"/>
    <s v="Micro Cars LTD"/>
    <x v="0"/>
    <x v="0"/>
    <s v="4227305293"/>
    <d v="2024-11-08T00:00:00"/>
    <n v="11"/>
    <x v="1"/>
    <n v="87320"/>
    <n v="87320"/>
    <n v="11"/>
    <x v="3"/>
    <s v="0773667669"/>
  </r>
  <r>
    <s v="190002563"/>
    <s v="Micro Cars LTD"/>
    <x v="0"/>
    <x v="0"/>
    <s v="4227305294"/>
    <d v="2024-11-08T00:00:00"/>
    <n v="11"/>
    <x v="1"/>
    <n v="21830"/>
    <n v="21830"/>
    <n v="11"/>
    <x v="3"/>
    <s v="0773667669"/>
  </r>
  <r>
    <s v="190004325"/>
    <s v="Avinda Auto Engineering (Pvt) Ltd"/>
    <x v="0"/>
    <x v="0"/>
    <s v="162034/888305"/>
    <d v="2021-12-28T00:00:00"/>
    <n v="12"/>
    <x v="4"/>
    <n v="-14904"/>
    <n v="-14904"/>
    <n v="1057"/>
    <x v="98"/>
    <s v="0112054893"/>
  </r>
  <r>
    <s v="190004325"/>
    <s v="Avinda Auto Engineering (Pvt) Ltd"/>
    <x v="0"/>
    <x v="0"/>
    <s v="4227159768"/>
    <d v="2020-12-16T00:00:00"/>
    <n v="12"/>
    <x v="3"/>
    <n v="6422"/>
    <n v="6422"/>
    <n v="1434"/>
    <x v="99"/>
    <s v="0112054893"/>
  </r>
  <r>
    <s v="190004325"/>
    <s v="Avinda Auto Engineering (Pvt) Ltd"/>
    <x v="0"/>
    <x v="0"/>
    <s v="4227160003"/>
    <d v="2020-12-18T00:00:00"/>
    <n v="12"/>
    <x v="3"/>
    <n v="22745"/>
    <n v="22745"/>
    <n v="1432"/>
    <x v="100"/>
    <s v="0112054893"/>
  </r>
  <r>
    <s v="190004325"/>
    <s v="Avinda Auto Engineering (Pvt) Ltd"/>
    <x v="0"/>
    <x v="0"/>
    <s v="4227160549"/>
    <d v="2020-12-23T00:00:00"/>
    <n v="12"/>
    <x v="3"/>
    <n v="4666"/>
    <n v="4666"/>
    <n v="1427"/>
    <x v="101"/>
    <s v="0112054893"/>
  </r>
  <r>
    <s v="190004325"/>
    <s v="Avinda Auto Engineering (Pvt) Ltd"/>
    <x v="0"/>
    <x v="0"/>
    <s v="4227166891"/>
    <d v="2021-02-19T00:00:00"/>
    <n v="2"/>
    <x v="4"/>
    <n v="21038"/>
    <n v="4666"/>
    <n v="1369"/>
    <x v="101"/>
    <s v="0112054893"/>
  </r>
  <r>
    <s v="190004325"/>
    <s v="Avinda Auto Engineering (Pvt) Ltd"/>
    <x v="0"/>
    <x v="0"/>
    <s v="4227169063"/>
    <d v="2021-03-09T00:00:00"/>
    <n v="3"/>
    <x v="4"/>
    <n v="5184"/>
    <n v="5184"/>
    <n v="1351"/>
    <x v="102"/>
    <s v="0112054893"/>
  </r>
  <r>
    <s v="190004325"/>
    <s v="Avinda Auto Engineering (Pvt) Ltd"/>
    <x v="0"/>
    <x v="0"/>
    <s v="4227169118"/>
    <d v="2021-03-09T00:00:00"/>
    <n v="3"/>
    <x v="4"/>
    <n v="15714"/>
    <n v="15714"/>
    <n v="1351"/>
    <x v="103"/>
    <s v="0112054893"/>
  </r>
  <r>
    <s v="190004325"/>
    <s v="Avinda Auto Engineering (Pvt) Ltd"/>
    <x v="0"/>
    <x v="0"/>
    <s v="4227169672"/>
    <d v="2021-03-12T00:00:00"/>
    <n v="3"/>
    <x v="4"/>
    <n v="1231"/>
    <n v="1231"/>
    <n v="1348"/>
    <x v="104"/>
    <s v="0112054893"/>
  </r>
  <r>
    <s v="190004325"/>
    <s v="Avinda Auto Engineering (Pvt) Ltd"/>
    <x v="0"/>
    <x v="0"/>
    <s v="4227170502"/>
    <d v="2021-03-17T00:00:00"/>
    <n v="3"/>
    <x v="4"/>
    <n v="22745"/>
    <n v="22745"/>
    <n v="1343"/>
    <x v="100"/>
    <s v="0112054893"/>
  </r>
  <r>
    <s v="190004325"/>
    <s v="Avinda Auto Engineering (Pvt) Ltd"/>
    <x v="0"/>
    <x v="0"/>
    <s v="4227173992"/>
    <d v="2021-04-16T00:00:00"/>
    <n v="4"/>
    <x v="4"/>
    <n v="22745"/>
    <n v="22745"/>
    <n v="1313"/>
    <x v="100"/>
    <s v="0112054893"/>
  </r>
  <r>
    <s v="190004325"/>
    <s v="Avinda Auto Engineering (Pvt) Ltd"/>
    <x v="0"/>
    <x v="0"/>
    <s v="4227179546"/>
    <d v="2021-07-01T00:00:00"/>
    <n v="7"/>
    <x v="4"/>
    <n v="23095"/>
    <n v="23095"/>
    <n v="1237"/>
    <x v="105"/>
    <s v="0112054893"/>
  </r>
  <r>
    <s v="190004325"/>
    <s v="Avinda Auto Engineering (Pvt) Ltd"/>
    <x v="0"/>
    <x v="0"/>
    <s v="4227182648"/>
    <d v="2021-07-31T00:00:00"/>
    <n v="7"/>
    <x v="4"/>
    <n v="73689"/>
    <n v="73689"/>
    <n v="1207"/>
    <x v="106"/>
    <s v="0112054893"/>
  </r>
  <r>
    <s v="190004325"/>
    <s v="Avinda Auto Engineering (Pvt) Ltd"/>
    <x v="0"/>
    <x v="0"/>
    <s v="4227197122"/>
    <d v="2021-12-27T00:00:00"/>
    <n v="12"/>
    <x v="4"/>
    <n v="46189"/>
    <n v="46189"/>
    <n v="1058"/>
    <x v="107"/>
    <s v="0112054893"/>
  </r>
  <r>
    <s v="190005925"/>
    <s v="Edirisinghe Brothers (Pvt)Ltd"/>
    <x v="0"/>
    <x v="0"/>
    <s v="RTN CHQ - 940461"/>
    <d v="2024-02-27T00:00:00"/>
    <n v="2"/>
    <x v="1"/>
    <n v="417450"/>
    <n v="417450"/>
    <n v="266"/>
    <x v="108"/>
    <s v="0768223722"/>
  </r>
  <r>
    <s v="190005925"/>
    <s v="Edirisinghe Brothers (Pvt)Ltd"/>
    <x v="0"/>
    <x v="0"/>
    <s v="RTN CHQ - 940460"/>
    <d v="2024-02-27T00:00:00"/>
    <n v="2"/>
    <x v="1"/>
    <n v="66240"/>
    <n v="66240"/>
    <n v="266"/>
    <x v="109"/>
    <s v="0768223722"/>
  </r>
  <r>
    <s v="190005925"/>
    <s v="Edirisinghe Brothers (Pvt)Ltd"/>
    <x v="0"/>
    <x v="0"/>
    <s v="199952/081285"/>
    <d v="2023-04-24T00:00:00"/>
    <n v="4"/>
    <x v="0"/>
    <n v="-210523.5"/>
    <n v="-88998.5"/>
    <n v="575"/>
    <x v="110"/>
    <s v="0768223722"/>
  </r>
  <r>
    <s v="190005925"/>
    <s v="Edirisinghe Brothers (Pvt)Ltd"/>
    <x v="0"/>
    <x v="0"/>
    <s v="194394"/>
    <d v="2023-04-19T00:00:00"/>
    <n v="4"/>
    <x v="0"/>
    <n v="-296763"/>
    <n v="-14350.3"/>
    <n v="580"/>
    <x v="111"/>
    <s v="0768223722"/>
  </r>
  <r>
    <s v="190005925"/>
    <s v="Edirisinghe Brothers (Pvt)Ltd"/>
    <x v="0"/>
    <x v="0"/>
    <s v="225817 / 954783"/>
    <d v="2024-06-13T00:00:00"/>
    <n v="6"/>
    <x v="1"/>
    <n v="-34742"/>
    <n v="-34742"/>
    <n v="159"/>
    <x v="112"/>
    <s v="0768223722"/>
  </r>
  <r>
    <s v="190005925"/>
    <s v="Edirisinghe Brothers (Pvt)Ltd"/>
    <x v="0"/>
    <x v="0"/>
    <s v="211476 / 665043"/>
    <d v="2023-12-14T00:00:00"/>
    <n v="12"/>
    <x v="0"/>
    <n v="-155538"/>
    <n v="-155538"/>
    <n v="341"/>
    <x v="113"/>
    <s v="0768223722"/>
  </r>
  <r>
    <s v="190005925"/>
    <s v="Edirisinghe Brothers (Pvt)Ltd"/>
    <x v="0"/>
    <x v="0"/>
    <s v="4227238447"/>
    <d v="2023-04-07T00:00:00"/>
    <n v="4"/>
    <x v="0"/>
    <n v="457655"/>
    <n v="60490"/>
    <n v="592"/>
    <x v="114"/>
    <s v="0768223722"/>
  </r>
  <r>
    <s v="190005925"/>
    <s v="Edirisinghe Brothers (Pvt)Ltd"/>
    <x v="0"/>
    <x v="0"/>
    <s v="4227243302"/>
    <d v="2023-05-31T00:00:00"/>
    <n v="5"/>
    <x v="0"/>
    <n v="391495"/>
    <n v="391495"/>
    <n v="538"/>
    <x v="115"/>
    <s v="0768223722"/>
  </r>
  <r>
    <s v="190005925"/>
    <s v="Edirisinghe Brothers (Pvt)Ltd"/>
    <x v="0"/>
    <x v="0"/>
    <s v="4227243949"/>
    <d v="2023-06-10T00:00:00"/>
    <n v="6"/>
    <x v="0"/>
    <n v="121855"/>
    <n v="330"/>
    <n v="528"/>
    <x v="116"/>
    <s v="0768223722"/>
  </r>
  <r>
    <s v="190005925"/>
    <s v="Edirisinghe Brothers (Pvt)Ltd"/>
    <x v="0"/>
    <x v="0"/>
    <s v="4227244202"/>
    <d v="2023-06-13T00:00:00"/>
    <n v="6"/>
    <x v="0"/>
    <n v="143451"/>
    <n v="143451"/>
    <n v="525"/>
    <x v="117"/>
    <s v="0768223722"/>
  </r>
  <r>
    <s v="190005925"/>
    <s v="Edirisinghe Brothers (Pvt)Ltd"/>
    <x v="0"/>
    <x v="0"/>
    <s v="4227244909"/>
    <d v="2023-06-21T00:00:00"/>
    <n v="6"/>
    <x v="0"/>
    <n v="95220"/>
    <n v="95220"/>
    <n v="517"/>
    <x v="118"/>
    <s v="0768223722"/>
  </r>
  <r>
    <s v="190005925"/>
    <s v="Edirisinghe Brothers (Pvt)Ltd"/>
    <x v="0"/>
    <x v="0"/>
    <s v="4227245772"/>
    <d v="2023-06-28T00:00:00"/>
    <n v="6"/>
    <x v="0"/>
    <n v="5060"/>
    <n v="5060"/>
    <n v="510"/>
    <x v="119"/>
    <s v="0768223722"/>
  </r>
  <r>
    <s v="190005925"/>
    <s v="Edirisinghe Brothers (Pvt)Ltd"/>
    <x v="0"/>
    <x v="0"/>
    <s v="4227245806"/>
    <d v="2023-06-29T00:00:00"/>
    <n v="6"/>
    <x v="0"/>
    <n v="19205"/>
    <n v="19205"/>
    <n v="509"/>
    <x v="120"/>
    <s v="0768223722"/>
  </r>
  <r>
    <s v="190005925"/>
    <s v="Edirisinghe Brothers (Pvt)Ltd"/>
    <x v="0"/>
    <x v="0"/>
    <s v="4227246610"/>
    <d v="2023-07-07T00:00:00"/>
    <n v="7"/>
    <x v="0"/>
    <n v="67620"/>
    <n v="67620"/>
    <n v="501"/>
    <x v="121"/>
    <s v="0768223722"/>
  </r>
  <r>
    <s v="190005925"/>
    <s v="Edirisinghe Brothers (Pvt)Ltd"/>
    <x v="0"/>
    <x v="0"/>
    <s v="4227246767"/>
    <d v="2023-07-07T00:00:00"/>
    <n v="7"/>
    <x v="0"/>
    <n v="155250"/>
    <n v="155250"/>
    <n v="501"/>
    <x v="122"/>
    <s v="0768223722"/>
  </r>
  <r>
    <s v="190005925"/>
    <s v="Edirisinghe Brothers (Pvt)Ltd"/>
    <x v="0"/>
    <x v="0"/>
    <s v="4227249080"/>
    <d v="2023-07-31T00:00:00"/>
    <n v="7"/>
    <x v="0"/>
    <n v="34742"/>
    <n v="34742"/>
    <n v="477"/>
    <x v="123"/>
    <s v="0768223722"/>
  </r>
  <r>
    <s v="190005925"/>
    <s v="Edirisinghe Brothers (Pvt)Ltd"/>
    <x v="0"/>
    <x v="0"/>
    <s v="4227250206"/>
    <d v="2023-08-10T00:00:00"/>
    <n v="8"/>
    <x v="0"/>
    <n v="4554"/>
    <n v="4554"/>
    <n v="467"/>
    <x v="124"/>
    <s v="0768223722"/>
  </r>
  <r>
    <s v="190005925"/>
    <s v="Edirisinghe Brothers (Pvt)Ltd"/>
    <x v="0"/>
    <x v="0"/>
    <s v="4227250722"/>
    <d v="2023-08-16T00:00:00"/>
    <n v="8"/>
    <x v="0"/>
    <n v="9108"/>
    <n v="9108"/>
    <n v="461"/>
    <x v="125"/>
    <s v="0768223722"/>
  </r>
  <r>
    <s v="190005925"/>
    <s v="Edirisinghe Brothers (Pvt)Ltd"/>
    <x v="0"/>
    <x v="0"/>
    <s v="4227251503"/>
    <d v="2023-08-23T00:00:00"/>
    <n v="8"/>
    <x v="0"/>
    <n v="358248"/>
    <n v="358248"/>
    <n v="454"/>
    <x v="126"/>
    <s v="0768223722"/>
  </r>
  <r>
    <s v="190005925"/>
    <s v="Edirisinghe Brothers (Pvt)Ltd"/>
    <x v="0"/>
    <x v="0"/>
    <s v="4227252632"/>
    <d v="2023-08-31T00:00:00"/>
    <n v="8"/>
    <x v="0"/>
    <n v="54050"/>
    <n v="54050"/>
    <n v="446"/>
    <x v="127"/>
    <s v="0768223722"/>
  </r>
  <r>
    <s v="190005925"/>
    <s v="Edirisinghe Brothers (Pvt)Ltd"/>
    <x v="0"/>
    <x v="0"/>
    <s v="4227254029"/>
    <d v="2023-09-12T00:00:00"/>
    <n v="9"/>
    <x v="0"/>
    <n v="104742"/>
    <n v="104742"/>
    <n v="434"/>
    <x v="128"/>
    <s v="0768223722"/>
  </r>
  <r>
    <s v="190005925"/>
    <s v="Edirisinghe Brothers (Pvt)Ltd"/>
    <x v="0"/>
    <x v="0"/>
    <s v="4227255686"/>
    <d v="2023-09-26T00:00:00"/>
    <n v="9"/>
    <x v="0"/>
    <n v="144038"/>
    <n v="144038"/>
    <n v="420"/>
    <x v="129"/>
    <s v="0768223722"/>
  </r>
  <r>
    <s v="190005925"/>
    <s v="Edirisinghe Brothers (Pvt)Ltd"/>
    <x v="0"/>
    <x v="0"/>
    <s v="4227256331"/>
    <d v="2023-09-30T00:00:00"/>
    <n v="9"/>
    <x v="0"/>
    <n v="251505"/>
    <n v="24253.5"/>
    <n v="416"/>
    <x v="130"/>
    <s v="0768223722"/>
  </r>
  <r>
    <s v="190005925"/>
    <s v="Edirisinghe Brothers (Pvt)Ltd"/>
    <x v="0"/>
    <x v="0"/>
    <s v="4227256332"/>
    <d v="2023-09-30T00:00:00"/>
    <n v="9"/>
    <x v="0"/>
    <n v="256680"/>
    <n v="25530"/>
    <n v="416"/>
    <x v="131"/>
    <s v="0768223722"/>
  </r>
  <r>
    <s v="190005925"/>
    <s v="Edirisinghe Brothers (Pvt)Ltd"/>
    <x v="0"/>
    <x v="0"/>
    <s v="4227263284"/>
    <d v="2023-11-30T00:00:00"/>
    <n v="11"/>
    <x v="0"/>
    <n v="48300"/>
    <n v="48300"/>
    <n v="355"/>
    <x v="132"/>
    <s v="0768223722"/>
  </r>
  <r>
    <s v="190005925"/>
    <s v="Edirisinghe Brothers (Pvt)Ltd"/>
    <x v="0"/>
    <x v="0"/>
    <s v="4227263353"/>
    <d v="2023-11-30T00:00:00"/>
    <n v="11"/>
    <x v="0"/>
    <n v="35420"/>
    <n v="35420"/>
    <n v="355"/>
    <x v="133"/>
    <s v="0768223722"/>
  </r>
  <r>
    <s v="190005925"/>
    <s v="Edirisinghe Brothers (Pvt)Ltd"/>
    <x v="0"/>
    <x v="0"/>
    <s v="4227263390"/>
    <d v="2023-11-30T00:00:00"/>
    <n v="11"/>
    <x v="0"/>
    <n v="62100"/>
    <n v="62100"/>
    <n v="355"/>
    <x v="134"/>
    <s v="0768223722"/>
  </r>
  <r>
    <s v="190005925"/>
    <s v="Edirisinghe Brothers (Pvt)Ltd"/>
    <x v="0"/>
    <x v="0"/>
    <s v="4227264499"/>
    <d v="2023-12-13T00:00:00"/>
    <n v="12"/>
    <x v="0"/>
    <n v="25875"/>
    <n v="25875"/>
    <n v="342"/>
    <x v="135"/>
    <s v="0768223722"/>
  </r>
  <r>
    <s v="190005925"/>
    <s v="Edirisinghe Brothers (Pvt)Ltd"/>
    <x v="0"/>
    <x v="0"/>
    <s v="4227264555"/>
    <d v="2023-12-13T00:00:00"/>
    <n v="12"/>
    <x v="0"/>
    <n v="310500"/>
    <n v="310500"/>
    <n v="342"/>
    <x v="136"/>
    <s v="0768223722"/>
  </r>
  <r>
    <s v="190005925"/>
    <s v="Edirisinghe Brothers (Pvt)Ltd"/>
    <x v="0"/>
    <x v="0"/>
    <s v="4227264869"/>
    <d v="2023-12-19T00:00:00"/>
    <n v="12"/>
    <x v="0"/>
    <n v="9775"/>
    <n v="9775"/>
    <n v="336"/>
    <x v="53"/>
    <s v="0768223722"/>
  </r>
  <r>
    <s v="190005925"/>
    <s v="Edirisinghe Brothers (Pvt)Ltd"/>
    <x v="0"/>
    <x v="0"/>
    <s v="4227265466"/>
    <d v="2023-12-27T00:00:00"/>
    <n v="12"/>
    <x v="0"/>
    <n v="75969"/>
    <n v="75969"/>
    <n v="328"/>
    <x v="137"/>
    <s v="0768223722"/>
  </r>
  <r>
    <s v="190005925"/>
    <s v="Edirisinghe Brothers (Pvt)Ltd"/>
    <x v="0"/>
    <x v="0"/>
    <s v="4227265647"/>
    <d v="2023-12-28T00:00:00"/>
    <n v="12"/>
    <x v="0"/>
    <n v="80500"/>
    <n v="80500"/>
    <n v="327"/>
    <x v="138"/>
    <s v="0768223722"/>
  </r>
  <r>
    <s v="190005925"/>
    <s v="Edirisinghe Brothers (Pvt)Ltd"/>
    <x v="0"/>
    <x v="0"/>
    <s v="4227265648"/>
    <d v="2023-12-28T00:00:00"/>
    <n v="12"/>
    <x v="0"/>
    <n v="72450"/>
    <n v="72450"/>
    <n v="327"/>
    <x v="139"/>
    <s v="0768223722"/>
  </r>
  <r>
    <s v="190005925"/>
    <s v="Edirisinghe Brothers (Pvt)Ltd"/>
    <x v="0"/>
    <x v="0"/>
    <s v="4227265755"/>
    <d v="2023-12-28T00:00:00"/>
    <n v="12"/>
    <x v="0"/>
    <n v="227700"/>
    <n v="227700"/>
    <n v="327"/>
    <x v="140"/>
    <s v="0768223722"/>
  </r>
  <r>
    <s v="190005925"/>
    <s v="Edirisinghe Brothers (Pvt)Ltd"/>
    <x v="0"/>
    <x v="0"/>
    <s v="4227266245"/>
    <d v="2023-12-30T00:00:00"/>
    <n v="12"/>
    <x v="0"/>
    <n v="155250"/>
    <n v="155250"/>
    <n v="325"/>
    <x v="122"/>
    <s v="0768223722"/>
  </r>
  <r>
    <s v="190005925"/>
    <s v="Edirisinghe Brothers (Pvt)Ltd"/>
    <x v="0"/>
    <x v="0"/>
    <s v="4227268981"/>
    <d v="2024-01-26T00:00:00"/>
    <n v="1"/>
    <x v="1"/>
    <n v="393011"/>
    <n v="393011"/>
    <n v="298"/>
    <x v="141"/>
    <s v="0768223722"/>
  </r>
  <r>
    <s v="190005925"/>
    <s v="Edirisinghe Brothers (Pvt)Ltd"/>
    <x v="0"/>
    <x v="0"/>
    <s v="4227269770"/>
    <d v="2024-01-31T00:00:00"/>
    <n v="1"/>
    <x v="1"/>
    <n v="72782"/>
    <n v="72782"/>
    <n v="293"/>
    <x v="142"/>
    <s v="0768223722"/>
  </r>
  <r>
    <s v="190005925"/>
    <s v="Edirisinghe Brothers (Pvt)Ltd"/>
    <x v="0"/>
    <x v="0"/>
    <s v="4227275866"/>
    <d v="2024-03-26T00:00:00"/>
    <n v="3"/>
    <x v="1"/>
    <n v="20414"/>
    <n v="20414"/>
    <n v="238"/>
    <x v="143"/>
    <s v="0768223722"/>
  </r>
  <r>
    <s v="190005925"/>
    <s v="Edirisinghe Brothers (Pvt)Ltd"/>
    <x v="0"/>
    <x v="0"/>
    <s v="4227276773"/>
    <d v="2024-03-28T00:00:00"/>
    <n v="3"/>
    <x v="1"/>
    <n v="191160"/>
    <n v="191160"/>
    <n v="236"/>
    <x v="144"/>
    <s v="0768223722"/>
  </r>
  <r>
    <s v="190005925"/>
    <s v="Edirisinghe Brothers (Pvt)Ltd"/>
    <x v="0"/>
    <x v="0"/>
    <s v="4227277446"/>
    <d v="2024-04-09T00:00:00"/>
    <n v="4"/>
    <x v="1"/>
    <n v="90058"/>
    <n v="90058"/>
    <n v="224"/>
    <x v="145"/>
    <s v="0768223722"/>
  </r>
  <r>
    <s v="190005925"/>
    <s v="Edirisinghe Brothers (Pvt)Ltd"/>
    <x v="0"/>
    <x v="0"/>
    <s v="4227277464"/>
    <d v="2024-04-09T00:00:00"/>
    <n v="4"/>
    <x v="1"/>
    <n v="74340"/>
    <n v="74340"/>
    <n v="224"/>
    <x v="146"/>
    <s v="0768223722"/>
  </r>
  <r>
    <s v="190005925"/>
    <s v="Edirisinghe Brothers (Pvt)Ltd"/>
    <x v="0"/>
    <x v="0"/>
    <s v="4227277761"/>
    <d v="2024-04-19T00:00:00"/>
    <n v="4"/>
    <x v="1"/>
    <n v="72216"/>
    <n v="72216"/>
    <n v="214"/>
    <x v="147"/>
    <s v="0768223722"/>
  </r>
  <r>
    <s v="190005925"/>
    <s v="Edirisinghe Brothers (Pvt)Ltd"/>
    <x v="0"/>
    <x v="0"/>
    <s v="4227277769"/>
    <d v="2024-04-19T00:00:00"/>
    <n v="4"/>
    <x v="1"/>
    <n v="65844"/>
    <n v="65844"/>
    <n v="214"/>
    <x v="148"/>
    <s v="0768223722"/>
  </r>
  <r>
    <s v="190005925"/>
    <s v="Edirisinghe Brothers (Pvt)Ltd"/>
    <x v="0"/>
    <x v="0"/>
    <s v="4227278182"/>
    <d v="2024-04-26T00:00:00"/>
    <n v="4"/>
    <x v="1"/>
    <n v="77526"/>
    <n v="77526"/>
    <n v="207"/>
    <x v="149"/>
    <s v="0768223722"/>
  </r>
  <r>
    <s v="190005925"/>
    <s v="Edirisinghe Brothers (Pvt)Ltd"/>
    <x v="0"/>
    <x v="0"/>
    <s v="4227278183"/>
    <d v="2024-04-26T00:00:00"/>
    <n v="4"/>
    <x v="1"/>
    <n v="74340"/>
    <n v="74340"/>
    <n v="207"/>
    <x v="146"/>
    <s v="0768223722"/>
  </r>
  <r>
    <s v="190005925"/>
    <s v="Edirisinghe Brothers (Pvt)Ltd"/>
    <x v="0"/>
    <x v="0"/>
    <s v="4227278750"/>
    <d v="2024-04-30T00:00:00"/>
    <n v="4"/>
    <x v="1"/>
    <n v="104501"/>
    <n v="104501"/>
    <n v="203"/>
    <x v="150"/>
    <s v="0768223722"/>
  </r>
  <r>
    <s v="190005925"/>
    <s v="Edirisinghe Brothers (Pvt)Ltd"/>
    <x v="0"/>
    <x v="0"/>
    <s v="4227278779"/>
    <d v="2024-04-30T00:00:00"/>
    <n v="4"/>
    <x v="1"/>
    <n v="48852"/>
    <n v="48852"/>
    <n v="203"/>
    <x v="151"/>
    <s v="0768223722"/>
  </r>
  <r>
    <s v="190005925"/>
    <s v="Edirisinghe Brothers (Pvt)Ltd"/>
    <x v="0"/>
    <x v="0"/>
    <s v="4227278794"/>
    <d v="2024-04-30T00:00:00"/>
    <n v="4"/>
    <x v="1"/>
    <n v="118944"/>
    <n v="118944"/>
    <n v="203"/>
    <x v="152"/>
    <s v="0768223722"/>
  </r>
  <r>
    <s v="190005925"/>
    <s v="Edirisinghe Brothers (Pvt)Ltd"/>
    <x v="0"/>
    <x v="0"/>
    <s v="4227280883"/>
    <d v="2024-05-17T00:00:00"/>
    <n v="5"/>
    <x v="1"/>
    <n v="46728"/>
    <n v="46728"/>
    <n v="186"/>
    <x v="153"/>
    <s v="0768223722"/>
  </r>
  <r>
    <s v="190005925"/>
    <s v="Edirisinghe Brothers (Pvt)Ltd"/>
    <x v="0"/>
    <x v="0"/>
    <s v="4227280889"/>
    <d v="2024-05-17T00:00:00"/>
    <n v="5"/>
    <x v="1"/>
    <n v="96854"/>
    <n v="96854"/>
    <n v="186"/>
    <x v="154"/>
    <s v="0768223722"/>
  </r>
  <r>
    <s v="190005925"/>
    <s v="Edirisinghe Brothers (Pvt)Ltd"/>
    <x v="0"/>
    <x v="0"/>
    <s v="4227280929"/>
    <d v="2024-05-17T00:00:00"/>
    <n v="5"/>
    <x v="1"/>
    <n v="79013"/>
    <n v="79013"/>
    <n v="186"/>
    <x v="155"/>
    <s v="0768223722"/>
  </r>
  <r>
    <s v="190005925"/>
    <s v="Edirisinghe Brothers (Pvt)Ltd"/>
    <x v="0"/>
    <x v="0"/>
    <s v="4227281169"/>
    <d v="2024-05-20T00:00:00"/>
    <n v="5"/>
    <x v="1"/>
    <n v="74340"/>
    <n v="74340"/>
    <n v="183"/>
    <x v="146"/>
    <s v="0768223722"/>
  </r>
  <r>
    <s v="190005925"/>
    <s v="Edirisinghe Brothers (Pvt)Ltd"/>
    <x v="0"/>
    <x v="0"/>
    <s v="4227282648"/>
    <d v="2024-05-31T00:00:00"/>
    <n v="5"/>
    <x v="1"/>
    <n v="79013"/>
    <n v="79013"/>
    <n v="172"/>
    <x v="155"/>
    <s v="0768223722"/>
  </r>
  <r>
    <s v="190005925"/>
    <s v="Edirisinghe Brothers (Pvt)Ltd"/>
    <x v="0"/>
    <x v="0"/>
    <s v="4227282649"/>
    <d v="2024-05-31T00:00:00"/>
    <n v="5"/>
    <x v="1"/>
    <n v="47790"/>
    <n v="47790"/>
    <n v="172"/>
    <x v="156"/>
    <s v="0768223722"/>
  </r>
  <r>
    <s v="190005925"/>
    <s v="Edirisinghe Brothers (Pvt)Ltd"/>
    <x v="0"/>
    <x v="0"/>
    <s v="4227283017"/>
    <d v="2024-06-06T00:00:00"/>
    <n v="6"/>
    <x v="1"/>
    <n v="79013"/>
    <n v="79013"/>
    <n v="166"/>
    <x v="155"/>
    <s v="0768223722"/>
  </r>
  <r>
    <s v="190005925"/>
    <s v="Edirisinghe Brothers (Pvt)Ltd"/>
    <x v="0"/>
    <x v="0"/>
    <s v="4227283895"/>
    <d v="2024-06-14T00:00:00"/>
    <n v="6"/>
    <x v="1"/>
    <n v="46728"/>
    <n v="46728"/>
    <n v="158"/>
    <x v="153"/>
    <s v="0768223722"/>
  </r>
  <r>
    <s v="190005925"/>
    <s v="Edirisinghe Brothers (Pvt)Ltd"/>
    <x v="0"/>
    <x v="0"/>
    <s v="4227283921"/>
    <d v="2024-06-14T00:00:00"/>
    <n v="6"/>
    <x v="1"/>
    <n v="46728"/>
    <n v="46728"/>
    <n v="158"/>
    <x v="153"/>
    <s v="0768223722"/>
  </r>
  <r>
    <s v="190005925"/>
    <s v="Edirisinghe Brothers (Pvt)Ltd"/>
    <x v="0"/>
    <x v="0"/>
    <s v="4227284322"/>
    <d v="2024-06-19T00:00:00"/>
    <n v="6"/>
    <x v="1"/>
    <n v="29736"/>
    <n v="29736"/>
    <n v="153"/>
    <x v="157"/>
    <s v="0768223722"/>
  </r>
  <r>
    <s v="190005925"/>
    <s v="Edirisinghe Brothers (Pvt)Ltd"/>
    <x v="0"/>
    <x v="0"/>
    <s v="4227284333"/>
    <d v="2024-06-19T00:00:00"/>
    <n v="6"/>
    <x v="1"/>
    <n v="29736"/>
    <n v="29736"/>
    <n v="153"/>
    <x v="157"/>
    <s v="0768223722"/>
  </r>
  <r>
    <s v="190005925"/>
    <s v="Edirisinghe Brothers (Pvt)Ltd"/>
    <x v="0"/>
    <x v="0"/>
    <s v="4227284962"/>
    <d v="2024-06-26T00:00:00"/>
    <n v="6"/>
    <x v="1"/>
    <n v="93987"/>
    <n v="93987"/>
    <n v="146"/>
    <x v="158"/>
    <s v="0768223722"/>
  </r>
  <r>
    <s v="190005925"/>
    <s v="Edirisinghe Brothers (Pvt)Ltd"/>
    <x v="0"/>
    <x v="0"/>
    <s v="4227285503"/>
    <d v="2024-06-28T00:00:00"/>
    <n v="6"/>
    <x v="1"/>
    <n v="111298"/>
    <n v="111298"/>
    <n v="144"/>
    <x v="159"/>
    <s v="0768223722"/>
  </r>
  <r>
    <s v="190005925"/>
    <s v="Edirisinghe Brothers (Pvt)Ltd"/>
    <x v="0"/>
    <x v="0"/>
    <s v="4227290474"/>
    <d v="2024-07-31T00:00:00"/>
    <n v="7"/>
    <x v="1"/>
    <n v="31860"/>
    <n v="31860"/>
    <n v="111"/>
    <x v="160"/>
    <s v="0768223722"/>
  </r>
  <r>
    <s v="190005925"/>
    <s v="Edirisinghe Brothers (Pvt)Ltd"/>
    <x v="0"/>
    <x v="0"/>
    <s v="4227290475"/>
    <d v="2024-07-31T00:00:00"/>
    <n v="7"/>
    <x v="1"/>
    <n v="97421"/>
    <n v="97421"/>
    <n v="111"/>
    <x v="161"/>
    <s v="0768223722"/>
  </r>
  <r>
    <s v="190005925"/>
    <s v="Edirisinghe Brothers (Pvt)Ltd"/>
    <x v="0"/>
    <x v="0"/>
    <s v="4227290490"/>
    <d v="2024-07-31T00:00:00"/>
    <n v="7"/>
    <x v="1"/>
    <n v="141246"/>
    <n v="141246"/>
    <n v="111"/>
    <x v="162"/>
    <s v="0768223722"/>
  </r>
  <r>
    <s v="190005925"/>
    <s v="Edirisinghe Brothers (Pvt)Ltd"/>
    <x v="0"/>
    <x v="0"/>
    <s v="4227290492"/>
    <d v="2024-07-31T00:00:00"/>
    <n v="7"/>
    <x v="1"/>
    <n v="109988"/>
    <n v="109988"/>
    <n v="111"/>
    <x v="163"/>
    <s v="0768223722"/>
  </r>
  <r>
    <s v="190005925"/>
    <s v="Edirisinghe Brothers (Pvt)Ltd"/>
    <x v="0"/>
    <x v="0"/>
    <s v="4227292115"/>
    <d v="2024-08-14T00:00:00"/>
    <n v="8"/>
    <x v="1"/>
    <n v="74340"/>
    <n v="74340"/>
    <n v="97"/>
    <x v="146"/>
    <s v="0768223722"/>
  </r>
  <r>
    <s v="190005925"/>
    <s v="Edirisinghe Brothers (Pvt)Ltd"/>
    <x v="0"/>
    <x v="0"/>
    <s v="4227292166"/>
    <d v="2024-08-14T00:00:00"/>
    <n v="8"/>
    <x v="1"/>
    <n v="74340"/>
    <n v="74340"/>
    <n v="97"/>
    <x v="146"/>
    <s v="0768223722"/>
  </r>
  <r>
    <s v="190005925"/>
    <s v="Edirisinghe Brothers (Pvt)Ltd"/>
    <x v="0"/>
    <x v="0"/>
    <s v="4227292545"/>
    <d v="2024-08-17T00:00:00"/>
    <n v="8"/>
    <x v="1"/>
    <n v="118491"/>
    <n v="118491"/>
    <n v="94"/>
    <x v="164"/>
    <s v="0768223722"/>
  </r>
  <r>
    <s v="190005925"/>
    <s v="Edirisinghe Brothers (Pvt)Ltd"/>
    <x v="0"/>
    <x v="0"/>
    <s v="4227294920"/>
    <d v="2024-08-31T00:00:00"/>
    <n v="8"/>
    <x v="1"/>
    <n v="118491"/>
    <n v="118491"/>
    <n v="80"/>
    <x v="3"/>
    <s v="0768223722"/>
  </r>
  <r>
    <s v="190005925"/>
    <s v="Edirisinghe Brothers (Pvt)Ltd"/>
    <x v="0"/>
    <x v="0"/>
    <s v="4227294934"/>
    <d v="2024-08-31T00:00:00"/>
    <n v="8"/>
    <x v="1"/>
    <n v="116596"/>
    <n v="116596"/>
    <n v="80"/>
    <x v="3"/>
    <s v="0768223722"/>
  </r>
  <r>
    <s v="190005925"/>
    <s v="Edirisinghe Brothers (Pvt)Ltd"/>
    <x v="0"/>
    <x v="0"/>
    <s v="4227298676"/>
    <d v="2024-09-30T00:00:00"/>
    <n v="9"/>
    <x v="1"/>
    <n v="227778"/>
    <n v="227778"/>
    <n v="50"/>
    <x v="3"/>
    <s v="0768223722"/>
  </r>
  <r>
    <s v="190005925"/>
    <s v="Edirisinghe Brothers (Pvt)Ltd"/>
    <x v="0"/>
    <x v="0"/>
    <s v="4227298700"/>
    <d v="2024-09-30T00:00:00"/>
    <n v="9"/>
    <x v="1"/>
    <n v="174050"/>
    <n v="174050"/>
    <n v="50"/>
    <x v="3"/>
    <s v="0768223722"/>
  </r>
  <r>
    <s v="190005925"/>
    <s v="Edirisinghe Brothers (Pvt)Ltd"/>
    <x v="0"/>
    <x v="0"/>
    <s v="5227014638"/>
    <d v="2024-03-14T00:00:00"/>
    <n v="3"/>
    <x v="1"/>
    <n v="-5060"/>
    <n v="-5060"/>
    <n v="250"/>
    <x v="165"/>
    <s v="0768223722"/>
  </r>
  <r>
    <s v="190006166"/>
    <s v="Stafford Motors"/>
    <x v="0"/>
    <x v="0"/>
    <s v="222861"/>
    <d v="2024-03-27T00:00:00"/>
    <n v="3"/>
    <x v="1"/>
    <n v="-25370"/>
    <n v="-25370"/>
    <n v="237"/>
    <x v="166"/>
    <s v="0117607510"/>
  </r>
  <r>
    <s v="190006166"/>
    <s v="Stafford Motors"/>
    <x v="0"/>
    <x v="0"/>
    <s v="4227295402"/>
    <d v="2024-09-04T00:00:00"/>
    <n v="9"/>
    <x v="1"/>
    <n v="812442"/>
    <n v="812442"/>
    <n v="76"/>
    <x v="3"/>
    <s v="0117607510"/>
  </r>
  <r>
    <s v="190006166"/>
    <s v="Stafford Motors"/>
    <x v="0"/>
    <x v="0"/>
    <s v="4227296012"/>
    <d v="2024-09-11T00:00:00"/>
    <n v="9"/>
    <x v="1"/>
    <n v="30444"/>
    <n v="30444"/>
    <n v="69"/>
    <x v="3"/>
    <s v="0117607510"/>
  </r>
  <r>
    <s v="190006166"/>
    <s v="Stafford Motors"/>
    <x v="0"/>
    <x v="0"/>
    <s v="4227296716"/>
    <d v="2024-09-19T00:00:00"/>
    <n v="9"/>
    <x v="1"/>
    <n v="35874"/>
    <n v="35874"/>
    <n v="61"/>
    <x v="3"/>
    <s v="0117607510"/>
  </r>
  <r>
    <s v="190006166"/>
    <s v="Stafford Motors"/>
    <x v="0"/>
    <x v="0"/>
    <s v="4227299652"/>
    <d v="2024-10-08T00:00:00"/>
    <n v="10"/>
    <x v="1"/>
    <n v="296192"/>
    <n v="296192"/>
    <n v="42"/>
    <x v="3"/>
    <s v="0117607510"/>
  </r>
  <r>
    <s v="190006166"/>
    <s v="Stafford Motors"/>
    <x v="0"/>
    <x v="0"/>
    <s v="4227301582"/>
    <d v="2024-10-21T00:00:00"/>
    <n v="10"/>
    <x v="1"/>
    <n v="15222"/>
    <n v="15222"/>
    <n v="29"/>
    <x v="3"/>
    <s v="0117607510"/>
  </r>
  <r>
    <s v="190006166"/>
    <s v="Stafford Motors"/>
    <x v="0"/>
    <x v="0"/>
    <s v="4227302577"/>
    <d v="2024-10-28T00:00:00"/>
    <n v="10"/>
    <x v="1"/>
    <n v="66318"/>
    <n v="66318"/>
    <n v="22"/>
    <x v="3"/>
    <s v="0117607510"/>
  </r>
  <r>
    <s v="190006166"/>
    <s v="Stafford Motors"/>
    <x v="0"/>
    <x v="0"/>
    <s v="4227304194"/>
    <d v="2024-10-31T00:00:00"/>
    <n v="10"/>
    <x v="1"/>
    <n v="433501"/>
    <n v="433501"/>
    <n v="19"/>
    <x v="3"/>
    <s v="0117607510"/>
  </r>
  <r>
    <s v="190006205"/>
    <s v="Mercstop"/>
    <x v="0"/>
    <x v="0"/>
    <s v=""/>
    <d v="2021-08-16T00:00:00"/>
    <n v="8"/>
    <x v="4"/>
    <n v="-356.01"/>
    <n v="-356.01"/>
    <n v="1191"/>
    <x v="167"/>
    <s v="0773124402"/>
  </r>
  <r>
    <s v="190006205"/>
    <s v="Mercstop"/>
    <x v="0"/>
    <x v="0"/>
    <s v="217502 / 038609"/>
    <d v="2024-01-23T00:00:00"/>
    <n v="1"/>
    <x v="1"/>
    <n v="-26951.4"/>
    <n v="-26951.4"/>
    <n v="301"/>
    <x v="168"/>
    <s v="0773124402"/>
  </r>
  <r>
    <s v="190006205"/>
    <s v="Mercstop"/>
    <x v="0"/>
    <x v="0"/>
    <s v="118161 - 035732"/>
    <d v="2019-06-21T00:00:00"/>
    <n v="6"/>
    <x v="5"/>
    <n v="-698.99"/>
    <n v="-698.99"/>
    <n v="1978"/>
    <x v="169"/>
    <s v="0773124402"/>
  </r>
  <r>
    <s v="190006205"/>
    <s v="Mercstop"/>
    <x v="0"/>
    <x v="0"/>
    <s v="225802/038802"/>
    <d v="2024-05-26T00:00:00"/>
    <n v="5"/>
    <x v="1"/>
    <n v="8673"/>
    <n v="8673"/>
    <n v="177"/>
    <x v="170"/>
    <s v="0773124402"/>
  </r>
  <r>
    <s v="190006205"/>
    <s v="Mercstop"/>
    <x v="0"/>
    <x v="0"/>
    <s v="225803/001687"/>
    <d v="2024-05-26T00:00:00"/>
    <n v="5"/>
    <x v="1"/>
    <n v="991.2"/>
    <n v="991.2"/>
    <n v="177"/>
    <x v="171"/>
    <s v="0773124402"/>
  </r>
  <r>
    <s v="190006205"/>
    <s v="Mercstop"/>
    <x v="0"/>
    <x v="0"/>
    <s v="153500-585559"/>
    <d v="2021-05-07T00:00:00"/>
    <n v="5"/>
    <x v="4"/>
    <n v="-295.69"/>
    <n v="-295.69"/>
    <n v="1292"/>
    <x v="172"/>
    <s v="0773124402"/>
  </r>
  <r>
    <s v="190006205"/>
    <s v="Mercstop"/>
    <x v="0"/>
    <x v="0"/>
    <s v="211465"/>
    <d v="2023-11-27T00:00:00"/>
    <n v="11"/>
    <x v="0"/>
    <n v="-3353"/>
    <n v="-3353"/>
    <n v="358"/>
    <x v="173"/>
    <s v="0773124402"/>
  </r>
  <r>
    <s v="190006205"/>
    <s v="Mercstop"/>
    <x v="0"/>
    <x v="0"/>
    <s v="211487 / 038564"/>
    <d v="2023-12-28T00:00:00"/>
    <n v="12"/>
    <x v="0"/>
    <n v="-13475.7"/>
    <n v="-13475.7"/>
    <n v="327"/>
    <x v="174"/>
    <s v="0773124402"/>
  </r>
  <r>
    <s v="190006205"/>
    <s v="Mercstop"/>
    <x v="0"/>
    <x v="0"/>
    <s v="211484 / 038545"/>
    <d v="2023-12-28T00:00:00"/>
    <n v="12"/>
    <x v="0"/>
    <n v="-57753"/>
    <n v="-57753"/>
    <n v="327"/>
    <x v="175"/>
    <s v="0773124402"/>
  </r>
  <r>
    <s v="190006205"/>
    <s v="Mercstop"/>
    <x v="0"/>
    <x v="0"/>
    <s v="4227180169"/>
    <d v="2021-07-08T00:00:00"/>
    <n v="7"/>
    <x v="4"/>
    <n v="149751"/>
    <n v="10984"/>
    <n v="1230"/>
    <x v="176"/>
    <s v="0773124402"/>
  </r>
  <r>
    <s v="190006205"/>
    <s v="Mercstop"/>
    <x v="0"/>
    <x v="0"/>
    <s v="4227187666"/>
    <d v="2021-10-05T00:00:00"/>
    <n v="10"/>
    <x v="4"/>
    <n v="21406"/>
    <n v="4732.01"/>
    <n v="1141"/>
    <x v="177"/>
    <s v="0773124402"/>
  </r>
  <r>
    <s v="190006205"/>
    <s v="Mercstop"/>
    <x v="0"/>
    <x v="0"/>
    <s v="4227190499"/>
    <d v="2021-10-29T00:00:00"/>
    <n v="10"/>
    <x v="4"/>
    <n v="14580"/>
    <n v="2799.6"/>
    <n v="1117"/>
    <x v="178"/>
    <s v="0773124402"/>
  </r>
  <r>
    <s v="190006205"/>
    <s v="Mercstop"/>
    <x v="0"/>
    <x v="0"/>
    <s v="4227196009"/>
    <d v="2021-12-15T00:00:00"/>
    <n v="12"/>
    <x v="4"/>
    <n v="29160"/>
    <n v="8445"/>
    <n v="1070"/>
    <x v="179"/>
    <s v="0773124402"/>
  </r>
  <r>
    <s v="190006205"/>
    <s v="Mercstop"/>
    <x v="0"/>
    <x v="0"/>
    <s v="4227261348"/>
    <d v="2023-11-14T00:00:00"/>
    <n v="11"/>
    <x v="0"/>
    <n v="70380"/>
    <n v="70380"/>
    <n v="371"/>
    <x v="180"/>
    <s v="0773124402"/>
  </r>
  <r>
    <s v="190006205"/>
    <s v="Mercstop"/>
    <x v="0"/>
    <x v="0"/>
    <s v="4227265630"/>
    <d v="2023-12-28T00:00:00"/>
    <n v="12"/>
    <x v="0"/>
    <n v="28980"/>
    <n v="8822.25"/>
    <n v="327"/>
    <x v="181"/>
    <s v="0773124402"/>
  </r>
  <r>
    <s v="190006205"/>
    <s v="Mercstop"/>
    <x v="0"/>
    <x v="0"/>
    <s v="4227269480"/>
    <d v="2024-01-30T00:00:00"/>
    <n v="1"/>
    <x v="1"/>
    <n v="263046"/>
    <n v="18414.150000000001"/>
    <n v="294"/>
    <x v="182"/>
    <s v="0773124402"/>
  </r>
  <r>
    <s v="190006205"/>
    <s v="Mercstop"/>
    <x v="0"/>
    <x v="0"/>
    <s v="4227269916"/>
    <d v="2024-01-31T00:00:00"/>
    <n v="1"/>
    <x v="1"/>
    <n v="37170"/>
    <n v="37170"/>
    <n v="293"/>
    <x v="183"/>
    <s v="0773124402"/>
  </r>
  <r>
    <s v="190006205"/>
    <s v="Mercstop"/>
    <x v="0"/>
    <x v="0"/>
    <s v="4227271526"/>
    <d v="2024-02-19T00:00:00"/>
    <n v="2"/>
    <x v="1"/>
    <n v="149999"/>
    <n v="10499.93"/>
    <n v="274"/>
    <x v="184"/>
    <s v="0773124402"/>
  </r>
  <r>
    <s v="190006205"/>
    <s v="Mercstop"/>
    <x v="0"/>
    <x v="0"/>
    <s v="4227271738"/>
    <d v="2024-02-21T00:00:00"/>
    <n v="2"/>
    <x v="1"/>
    <n v="123900"/>
    <n v="8673"/>
    <n v="272"/>
    <x v="170"/>
    <s v="0773124402"/>
  </r>
  <r>
    <s v="190006205"/>
    <s v="Mercstop"/>
    <x v="0"/>
    <x v="0"/>
    <s v="4227274423"/>
    <d v="2024-03-13T00:00:00"/>
    <n v="3"/>
    <x v="1"/>
    <n v="118000"/>
    <n v="8260"/>
    <n v="251"/>
    <x v="185"/>
    <s v="0773124402"/>
  </r>
  <r>
    <s v="190006205"/>
    <s v="Mercstop"/>
    <x v="0"/>
    <x v="0"/>
    <s v="4227277489"/>
    <d v="2024-04-09T00:00:00"/>
    <n v="4"/>
    <x v="1"/>
    <n v="29736"/>
    <n v="2081.52"/>
    <n v="224"/>
    <x v="186"/>
    <s v="0773124402"/>
  </r>
  <r>
    <s v="190006205"/>
    <s v="Mercstop"/>
    <x v="0"/>
    <x v="0"/>
    <s v="4227280618"/>
    <d v="2024-05-14T00:00:00"/>
    <n v="5"/>
    <x v="1"/>
    <n v="149999"/>
    <n v="10499.93"/>
    <n v="189"/>
    <x v="184"/>
    <s v="0773124402"/>
  </r>
  <r>
    <s v="190006205"/>
    <s v="Mercstop"/>
    <x v="0"/>
    <x v="0"/>
    <s v="4227280619"/>
    <d v="2024-05-14T00:00:00"/>
    <n v="5"/>
    <x v="1"/>
    <n v="59472"/>
    <n v="4163.04"/>
    <n v="189"/>
    <x v="187"/>
    <s v="0773124402"/>
  </r>
  <r>
    <s v="190006205"/>
    <s v="Mercstop"/>
    <x v="0"/>
    <x v="0"/>
    <s v="4227285050"/>
    <d v="2024-06-27T00:00:00"/>
    <n v="6"/>
    <x v="1"/>
    <n v="241900"/>
    <n v="16933"/>
    <n v="145"/>
    <x v="188"/>
    <s v="0773124402"/>
  </r>
  <r>
    <s v="190006205"/>
    <s v="Mercstop"/>
    <x v="0"/>
    <x v="0"/>
    <s v="4227287597"/>
    <d v="2024-07-16T00:00:00"/>
    <n v="7"/>
    <x v="1"/>
    <n v="29736"/>
    <n v="2081.5500000000002"/>
    <n v="126"/>
    <x v="189"/>
    <s v="0773124402"/>
  </r>
  <r>
    <s v="190006205"/>
    <s v="Mercstop"/>
    <x v="0"/>
    <x v="0"/>
    <s v="4227289303"/>
    <d v="2024-07-26T00:00:00"/>
    <n v="7"/>
    <x v="1"/>
    <n v="149999"/>
    <n v="10499.93"/>
    <n v="116"/>
    <x v="184"/>
    <s v="0773124402"/>
  </r>
  <r>
    <s v="190006205"/>
    <s v="Mercstop"/>
    <x v="0"/>
    <x v="0"/>
    <s v="4227291993"/>
    <d v="2024-08-13T00:00:00"/>
    <n v="8"/>
    <x v="1"/>
    <n v="123900"/>
    <n v="8673"/>
    <n v="98"/>
    <x v="170"/>
    <s v="0773124402"/>
  </r>
  <r>
    <s v="190006205"/>
    <s v="Mercstop"/>
    <x v="0"/>
    <x v="0"/>
    <s v="4227293900"/>
    <d v="2024-08-28T00:00:00"/>
    <n v="8"/>
    <x v="1"/>
    <n v="29736"/>
    <n v="2081.52"/>
    <n v="83"/>
    <x v="3"/>
    <s v="0773124402"/>
  </r>
  <r>
    <s v="190006205"/>
    <s v="Mercstop"/>
    <x v="0"/>
    <x v="0"/>
    <s v="4227303119"/>
    <d v="2024-10-30T00:00:00"/>
    <n v="10"/>
    <x v="1"/>
    <n v="29736"/>
    <n v="29736"/>
    <n v="20"/>
    <x v="3"/>
    <s v="0773124402"/>
  </r>
  <r>
    <s v="190006205"/>
    <s v="Mercstop"/>
    <x v="0"/>
    <x v="0"/>
    <s v="4227304193"/>
    <d v="2024-10-31T00:00:00"/>
    <n v="10"/>
    <x v="1"/>
    <n v="123900"/>
    <n v="123900"/>
    <n v="19"/>
    <x v="3"/>
    <s v="0773124402"/>
  </r>
  <r>
    <s v="190006598"/>
    <s v="Sadeera Motors"/>
    <x v="0"/>
    <x v="0"/>
    <s v="RTN CHQ - 540843"/>
    <d v="2017-10-12T00:00:00"/>
    <n v="10"/>
    <x v="2"/>
    <n v="18586"/>
    <n v="18586"/>
    <n v="2595"/>
    <x v="190"/>
    <s v=""/>
  </r>
  <r>
    <s v="190008163"/>
    <s v="Auto Miraj Kwik Fit (PVT) LTD"/>
    <x v="0"/>
    <x v="0"/>
    <s v=""/>
    <d v="2019-05-07T00:00:00"/>
    <n v="5"/>
    <x v="5"/>
    <n v="-2167"/>
    <n v="-2167"/>
    <n v="2023"/>
    <x v="191"/>
    <s v="0772366940"/>
  </r>
  <r>
    <s v="190008163"/>
    <s v="Auto Miraj Kwik Fit (PVT) LTD"/>
    <x v="0"/>
    <x v="0"/>
    <s v=""/>
    <d v="2019-05-07T00:00:00"/>
    <n v="5"/>
    <x v="5"/>
    <n v="-702.35"/>
    <n v="-702.35"/>
    <n v="2023"/>
    <x v="192"/>
    <s v="0772366940"/>
  </r>
  <r>
    <s v="190008163"/>
    <s v="Auto Miraj Kwik Fit (PVT) LTD"/>
    <x v="0"/>
    <x v="0"/>
    <s v="128234 - 594781"/>
    <d v="2020-01-09T00:00:00"/>
    <n v="1"/>
    <x v="3"/>
    <n v="-16619.72"/>
    <n v="-16619.72"/>
    <n v="1776"/>
    <x v="193"/>
    <s v="0772366940"/>
  </r>
  <r>
    <s v="190008163"/>
    <s v="Auto Miraj Kwik Fit (PVT) LTD"/>
    <x v="0"/>
    <x v="0"/>
    <s v="134976-410278"/>
    <d v="2020-06-30T00:00:00"/>
    <n v="6"/>
    <x v="3"/>
    <n v="-4974.5"/>
    <n v="-4974.5"/>
    <n v="1603"/>
    <x v="194"/>
    <s v="0772366940"/>
  </r>
  <r>
    <s v="190008163"/>
    <s v="Auto Miraj Kwik Fit (PVT) LTD"/>
    <x v="0"/>
    <x v="0"/>
    <s v="101690 - 050937"/>
    <d v="2018-10-29T00:00:00"/>
    <n v="10"/>
    <x v="2"/>
    <n v="-136.80000000000001"/>
    <n v="-136.80000000000001"/>
    <n v="2213"/>
    <x v="195"/>
    <s v="0772366940"/>
  </r>
  <r>
    <s v="190008163"/>
    <s v="Auto Miraj Kwik Fit (PVT) LTD"/>
    <x v="0"/>
    <x v="0"/>
    <s v="4227093022"/>
    <d v="2019-01-31T00:00:00"/>
    <n v="1"/>
    <x v="5"/>
    <n v="29715"/>
    <n v="21424.9"/>
    <n v="2119"/>
    <x v="196"/>
    <s v="0772366940"/>
  </r>
  <r>
    <s v="190008163"/>
    <s v="Auto Miraj Kwik Fit (PVT) LTD"/>
    <x v="0"/>
    <x v="0"/>
    <s v="4227095873"/>
    <d v="2019-02-28T00:00:00"/>
    <n v="2"/>
    <x v="5"/>
    <n v="13685"/>
    <n v="183.9"/>
    <n v="2091"/>
    <x v="197"/>
    <s v="0772366940"/>
  </r>
  <r>
    <s v="190008163"/>
    <s v="Auto Miraj Kwik Fit (PVT) LTD"/>
    <x v="0"/>
    <x v="0"/>
    <s v="4227107269"/>
    <d v="2019-06-28T00:00:00"/>
    <n v="6"/>
    <x v="5"/>
    <n v="24555"/>
    <n v="24555"/>
    <n v="1971"/>
    <x v="198"/>
    <s v="0772366940"/>
  </r>
  <r>
    <s v="190008163"/>
    <s v="Auto Miraj Kwik Fit (PVT) LTD"/>
    <x v="0"/>
    <x v="0"/>
    <s v="4227110047"/>
    <d v="2019-07-25T00:00:00"/>
    <n v="7"/>
    <x v="5"/>
    <n v="811"/>
    <n v="811"/>
    <n v="1944"/>
    <x v="199"/>
    <s v="0772366940"/>
  </r>
  <r>
    <s v="190008163"/>
    <s v="Auto Miraj Kwik Fit (PVT) LTD"/>
    <x v="0"/>
    <x v="0"/>
    <s v="4227119610"/>
    <d v="2019-10-15T00:00:00"/>
    <n v="10"/>
    <x v="5"/>
    <n v="115000"/>
    <n v="115000"/>
    <n v="1862"/>
    <x v="200"/>
    <s v="0772366940"/>
  </r>
  <r>
    <s v="190008163"/>
    <s v="Auto Miraj Kwik Fit (PVT) LTD"/>
    <x v="0"/>
    <x v="0"/>
    <s v="4227119701"/>
    <d v="2019-10-16T00:00:00"/>
    <n v="10"/>
    <x v="5"/>
    <n v="74520"/>
    <n v="29066"/>
    <n v="1861"/>
    <x v="201"/>
    <s v="0772366940"/>
  </r>
  <r>
    <s v="190008163"/>
    <s v="Auto Miraj Kwik Fit (PVT) LTD"/>
    <x v="0"/>
    <x v="0"/>
    <s v="4227120150"/>
    <d v="2019-10-21T00:00:00"/>
    <n v="10"/>
    <x v="5"/>
    <n v="4974"/>
    <n v="4974"/>
    <n v="1856"/>
    <x v="202"/>
    <s v="0772366940"/>
  </r>
  <r>
    <s v="190008163"/>
    <s v="Auto Miraj Kwik Fit (PVT) LTD"/>
    <x v="0"/>
    <x v="0"/>
    <s v="4227123471"/>
    <d v="2019-11-21T00:00:00"/>
    <n v="11"/>
    <x v="5"/>
    <n v="4962"/>
    <n v="563.20000000000005"/>
    <n v="1825"/>
    <x v="203"/>
    <s v="0772366940"/>
  </r>
  <r>
    <s v="190008163"/>
    <s v="Auto Miraj Kwik Fit (PVT) LTD"/>
    <x v="0"/>
    <x v="0"/>
    <s v="4227124248"/>
    <d v="2019-11-27T00:00:00"/>
    <n v="11"/>
    <x v="5"/>
    <n v="31855"/>
    <n v="31855"/>
    <n v="1819"/>
    <x v="204"/>
    <s v="0772366940"/>
  </r>
  <r>
    <s v="190008163"/>
    <s v="Auto Miraj Kwik Fit (PVT) LTD"/>
    <x v="0"/>
    <x v="0"/>
    <s v="4227125487"/>
    <d v="2019-12-05T00:00:00"/>
    <n v="12"/>
    <x v="5"/>
    <n v="13981"/>
    <n v="13981"/>
    <n v="1811"/>
    <x v="205"/>
    <s v="0772366940"/>
  </r>
  <r>
    <s v="190008163"/>
    <s v="Auto Miraj Kwik Fit (PVT) LTD"/>
    <x v="0"/>
    <x v="0"/>
    <s v="4227125687"/>
    <d v="2019-12-06T00:00:00"/>
    <n v="12"/>
    <x v="5"/>
    <n v="5265"/>
    <n v="5265"/>
    <n v="1810"/>
    <x v="206"/>
    <s v="0772366940"/>
  </r>
  <r>
    <s v="190008163"/>
    <s v="Auto Miraj Kwik Fit (PVT) LTD"/>
    <x v="0"/>
    <x v="0"/>
    <s v="4227126040"/>
    <d v="2019-12-10T00:00:00"/>
    <n v="12"/>
    <x v="5"/>
    <n v="17809"/>
    <n v="17809"/>
    <n v="1806"/>
    <x v="207"/>
    <s v="0772366940"/>
  </r>
  <r>
    <s v="190008163"/>
    <s v="Auto Miraj Kwik Fit (PVT) LTD"/>
    <x v="0"/>
    <x v="0"/>
    <s v="4227126607"/>
    <d v="2019-12-16T00:00:00"/>
    <n v="12"/>
    <x v="5"/>
    <n v="12528"/>
    <n v="12528"/>
    <n v="1800"/>
    <x v="208"/>
    <s v="0772366940"/>
  </r>
  <r>
    <s v="190008163"/>
    <s v="Auto Miraj Kwik Fit (PVT) LTD"/>
    <x v="0"/>
    <x v="0"/>
    <s v="4227128504"/>
    <d v="2019-12-31T00:00:00"/>
    <n v="12"/>
    <x v="5"/>
    <n v="2700"/>
    <n v="626.54999999999995"/>
    <n v="1785"/>
    <x v="209"/>
    <s v="0772366940"/>
  </r>
  <r>
    <s v="190008163"/>
    <s v="Auto Miraj Kwik Fit (PVT) LTD"/>
    <x v="0"/>
    <x v="0"/>
    <s v="4227131870"/>
    <d v="2020-01-31T00:00:00"/>
    <n v="1"/>
    <x v="3"/>
    <n v="23803"/>
    <n v="23803"/>
    <n v="1754"/>
    <x v="210"/>
    <s v="0772366940"/>
  </r>
  <r>
    <s v="190008163"/>
    <s v="Auto Miraj Kwik Fit (PVT) LTD"/>
    <x v="0"/>
    <x v="0"/>
    <s v="4227134100"/>
    <d v="2020-02-20T00:00:00"/>
    <n v="2"/>
    <x v="3"/>
    <n v="53554"/>
    <n v="53554"/>
    <n v="1734"/>
    <x v="211"/>
    <s v="0772366940"/>
  </r>
  <r>
    <s v="190008163"/>
    <s v="Auto Miraj Kwik Fit (PVT) LTD"/>
    <x v="0"/>
    <x v="0"/>
    <s v="4227136721"/>
    <d v="2020-03-13T00:00:00"/>
    <n v="3"/>
    <x v="3"/>
    <n v="106272"/>
    <n v="106272"/>
    <n v="1712"/>
    <x v="212"/>
    <s v="0772366940"/>
  </r>
  <r>
    <s v="190008163"/>
    <s v="Auto Miraj Kwik Fit (PVT) LTD"/>
    <x v="0"/>
    <x v="0"/>
    <s v="4227137459"/>
    <d v="2020-05-11T00:00:00"/>
    <n v="5"/>
    <x v="3"/>
    <n v="40241"/>
    <n v="40241"/>
    <n v="1653"/>
    <x v="213"/>
    <s v="0772366940"/>
  </r>
  <r>
    <s v="190008163"/>
    <s v="Auto Miraj Kwik Fit (PVT) LTD"/>
    <x v="0"/>
    <x v="0"/>
    <s v="4227138574"/>
    <d v="2020-05-27T00:00:00"/>
    <n v="5"/>
    <x v="3"/>
    <n v="10530"/>
    <n v="10530"/>
    <n v="1637"/>
    <x v="214"/>
    <s v="0772366940"/>
  </r>
  <r>
    <s v="190008163"/>
    <s v="Auto Miraj Kwik Fit (PVT) LTD"/>
    <x v="0"/>
    <x v="0"/>
    <s v="4227139452"/>
    <d v="2020-06-09T00:00:00"/>
    <n v="6"/>
    <x v="3"/>
    <n v="28741"/>
    <n v="28741"/>
    <n v="1624"/>
    <x v="215"/>
    <s v="0772366940"/>
  </r>
  <r>
    <s v="190008163"/>
    <s v="Auto Miraj Kwik Fit (PVT) LTD"/>
    <x v="0"/>
    <x v="0"/>
    <s v="4227139885"/>
    <d v="2020-06-12T00:00:00"/>
    <n v="6"/>
    <x v="3"/>
    <n v="40500"/>
    <n v="40500"/>
    <n v="1621"/>
    <x v="216"/>
    <s v="0772366940"/>
  </r>
  <r>
    <s v="190008163"/>
    <s v="Auto Miraj Kwik Fit (PVT) LTD"/>
    <x v="0"/>
    <x v="0"/>
    <s v="4227141122"/>
    <d v="2020-06-22T00:00:00"/>
    <n v="6"/>
    <x v="3"/>
    <n v="7020"/>
    <n v="7020"/>
    <n v="1611"/>
    <x v="217"/>
    <s v="0772366940"/>
  </r>
  <r>
    <s v="190008163"/>
    <s v="Auto Miraj Kwik Fit (PVT) LTD"/>
    <x v="0"/>
    <x v="0"/>
    <s v="4227141533"/>
    <d v="2020-06-25T00:00:00"/>
    <n v="6"/>
    <x v="3"/>
    <n v="6350"/>
    <n v="6350"/>
    <n v="1608"/>
    <x v="218"/>
    <s v="0772366940"/>
  </r>
  <r>
    <s v="190008163"/>
    <s v="Auto Miraj Kwik Fit (PVT) LTD"/>
    <x v="0"/>
    <x v="0"/>
    <s v="4227141563"/>
    <d v="2020-06-25T00:00:00"/>
    <n v="6"/>
    <x v="3"/>
    <n v="9612"/>
    <n v="9612"/>
    <n v="1608"/>
    <x v="219"/>
    <s v="0772366940"/>
  </r>
  <r>
    <s v="190008163"/>
    <s v="Auto Miraj Kwik Fit (PVT) LTD"/>
    <x v="0"/>
    <x v="0"/>
    <s v="4227142478"/>
    <d v="2020-07-03T00:00:00"/>
    <n v="7"/>
    <x v="3"/>
    <n v="53473"/>
    <n v="53473"/>
    <n v="1600"/>
    <x v="220"/>
    <s v="0772366940"/>
  </r>
  <r>
    <s v="190008163"/>
    <s v="Auto Miraj Kwik Fit (PVT) LTD"/>
    <x v="0"/>
    <x v="0"/>
    <s v="4227143804"/>
    <d v="2020-07-18T00:00:00"/>
    <n v="7"/>
    <x v="3"/>
    <n v="12285"/>
    <n v="12285"/>
    <n v="1585"/>
    <x v="221"/>
    <s v="0772366940"/>
  </r>
  <r>
    <s v="190008163"/>
    <s v="Auto Miraj Kwik Fit (PVT) LTD"/>
    <x v="0"/>
    <x v="0"/>
    <s v="4227143805"/>
    <d v="2020-07-18T00:00:00"/>
    <n v="7"/>
    <x v="3"/>
    <n v="8262"/>
    <n v="8262"/>
    <n v="1585"/>
    <x v="222"/>
    <s v="0772366940"/>
  </r>
  <r>
    <s v="190008163"/>
    <s v="Auto Miraj Kwik Fit (PVT) LTD"/>
    <x v="0"/>
    <x v="0"/>
    <s v="4227144351"/>
    <d v="2020-07-22T00:00:00"/>
    <n v="7"/>
    <x v="3"/>
    <n v="16449"/>
    <n v="16449"/>
    <n v="1581"/>
    <x v="223"/>
    <s v="0772366940"/>
  </r>
  <r>
    <s v="190008163"/>
    <s v="Auto Miraj Kwik Fit (PVT) LTD"/>
    <x v="0"/>
    <x v="0"/>
    <s v="4227146248"/>
    <d v="2020-08-10T00:00:00"/>
    <n v="8"/>
    <x v="3"/>
    <n v="33729"/>
    <n v="33729"/>
    <n v="1562"/>
    <x v="224"/>
    <s v="0772366940"/>
  </r>
  <r>
    <s v="190008163"/>
    <s v="Auto Miraj Kwik Fit (PVT) LTD"/>
    <x v="0"/>
    <x v="0"/>
    <s v="4227146939"/>
    <d v="2020-08-18T00:00:00"/>
    <n v="8"/>
    <x v="3"/>
    <n v="35241"/>
    <n v="35241"/>
    <n v="1554"/>
    <x v="225"/>
    <s v="0772366940"/>
  </r>
  <r>
    <s v="190008163"/>
    <s v="Auto Miraj Kwik Fit (PVT) LTD"/>
    <x v="0"/>
    <x v="0"/>
    <s v="4227148687"/>
    <d v="2020-08-31T00:00:00"/>
    <n v="8"/>
    <x v="3"/>
    <n v="22869"/>
    <n v="22869"/>
    <n v="1541"/>
    <x v="226"/>
    <s v="0772366940"/>
  </r>
  <r>
    <s v="190008163"/>
    <s v="Auto Miraj Kwik Fit (PVT) LTD"/>
    <x v="0"/>
    <x v="0"/>
    <s v="4227149314"/>
    <d v="2020-09-07T00:00:00"/>
    <n v="9"/>
    <x v="3"/>
    <n v="40459"/>
    <n v="40459"/>
    <n v="1534"/>
    <x v="227"/>
    <s v="0772366940"/>
  </r>
  <r>
    <s v="190008163"/>
    <s v="Auto Miraj Kwik Fit (PVT) LTD"/>
    <x v="0"/>
    <x v="0"/>
    <s v="4227149934"/>
    <d v="2020-09-09T00:00:00"/>
    <n v="9"/>
    <x v="3"/>
    <n v="5265"/>
    <n v="5265"/>
    <n v="1532"/>
    <x v="206"/>
    <s v="0772366940"/>
  </r>
  <r>
    <s v="190008163"/>
    <s v="Auto Miraj Kwik Fit (PVT) LTD"/>
    <x v="0"/>
    <x v="0"/>
    <s v="4227151169"/>
    <d v="2020-09-21T00:00:00"/>
    <n v="9"/>
    <x v="3"/>
    <n v="7020"/>
    <n v="7020"/>
    <n v="1520"/>
    <x v="217"/>
    <s v="0772366940"/>
  </r>
  <r>
    <s v="190008163"/>
    <s v="Auto Miraj Kwik Fit (PVT) LTD"/>
    <x v="0"/>
    <x v="0"/>
    <s v="4227153103"/>
    <d v="2020-10-05T00:00:00"/>
    <n v="10"/>
    <x v="3"/>
    <n v="5443"/>
    <n v="5443"/>
    <n v="1506"/>
    <x v="228"/>
    <s v="0772366940"/>
  </r>
  <r>
    <s v="190008163"/>
    <s v="Auto Miraj Kwik Fit (PVT) LTD"/>
    <x v="0"/>
    <x v="0"/>
    <s v="4227153172"/>
    <d v="2020-10-05T00:00:00"/>
    <n v="10"/>
    <x v="3"/>
    <n v="59656"/>
    <n v="59656"/>
    <n v="1506"/>
    <x v="229"/>
    <s v="0772366940"/>
  </r>
  <r>
    <s v="190008163"/>
    <s v="Auto Miraj Kwik Fit (PVT) LTD"/>
    <x v="0"/>
    <x v="0"/>
    <s v="4227154259"/>
    <d v="2020-10-17T00:00:00"/>
    <n v="10"/>
    <x v="3"/>
    <n v="5670"/>
    <n v="5670"/>
    <n v="1494"/>
    <x v="230"/>
    <s v="0772366940"/>
  </r>
  <r>
    <s v="190008163"/>
    <s v="Auto Miraj Kwik Fit (PVT) LTD"/>
    <x v="0"/>
    <x v="0"/>
    <s v="4227155694"/>
    <d v="2020-10-29T00:00:00"/>
    <n v="10"/>
    <x v="3"/>
    <n v="6480"/>
    <n v="6480"/>
    <n v="1482"/>
    <x v="231"/>
    <s v="0772366940"/>
  </r>
  <r>
    <s v="190008163"/>
    <s v="Auto Miraj Kwik Fit (PVT) LTD"/>
    <x v="0"/>
    <x v="0"/>
    <s v="4227155733"/>
    <d v="2020-10-29T00:00:00"/>
    <n v="10"/>
    <x v="3"/>
    <n v="6480"/>
    <n v="6480"/>
    <n v="1482"/>
    <x v="231"/>
    <s v="0772366940"/>
  </r>
  <r>
    <s v="190008163"/>
    <s v="Auto Miraj Kwik Fit (PVT) LTD"/>
    <x v="0"/>
    <x v="0"/>
    <s v="4227159132"/>
    <d v="2020-12-09T00:00:00"/>
    <n v="12"/>
    <x v="3"/>
    <n v="3672"/>
    <n v="3672"/>
    <n v="1441"/>
    <x v="232"/>
    <s v="0772366940"/>
  </r>
  <r>
    <s v="190008163"/>
    <s v="Auto Miraj Kwik Fit (PVT) LTD"/>
    <x v="0"/>
    <x v="0"/>
    <s v="5227009187"/>
    <d v="2020-11-26T00:00:00"/>
    <n v="11"/>
    <x v="3"/>
    <n v="-87696"/>
    <n v="-87696"/>
    <n v="1454"/>
    <x v="233"/>
    <s v="0772366940"/>
  </r>
  <r>
    <s v="190008272"/>
    <s v="Brown And CO PLC"/>
    <x v="0"/>
    <x v="0"/>
    <s v=""/>
    <d v="2024-09-30T00:00:00"/>
    <n v="9"/>
    <x v="1"/>
    <n v="128002.58"/>
    <n v="128002.58"/>
    <n v="50"/>
    <x v="3"/>
    <s v="0112555333"/>
  </r>
  <r>
    <s v="190008272"/>
    <s v="Brown And CO PLC"/>
    <x v="0"/>
    <x v="0"/>
    <s v="4227115203"/>
    <d v="2019-09-06T00:00:00"/>
    <n v="9"/>
    <x v="5"/>
    <n v="10764"/>
    <n v="10764"/>
    <n v="1901"/>
    <x v="234"/>
    <s v="0112555333"/>
  </r>
  <r>
    <s v="190008272"/>
    <s v="Brown And CO PLC"/>
    <x v="0"/>
    <x v="0"/>
    <s v="4227293954"/>
    <d v="2024-08-28T00:00:00"/>
    <n v="8"/>
    <x v="1"/>
    <n v="5310"/>
    <n v="5310"/>
    <n v="83"/>
    <x v="3"/>
    <s v="0112555333"/>
  </r>
  <r>
    <s v="190008272"/>
    <s v="Brown And CO PLC"/>
    <x v="0"/>
    <x v="0"/>
    <s v="4227297310"/>
    <d v="2024-09-20T00:00:00"/>
    <n v="9"/>
    <x v="1"/>
    <n v="99120"/>
    <n v="99120"/>
    <n v="60"/>
    <x v="3"/>
    <s v="0112555333"/>
  </r>
  <r>
    <s v="190008272"/>
    <s v="Brown And CO PLC"/>
    <x v="0"/>
    <x v="0"/>
    <s v="4227301906"/>
    <d v="2024-10-23T00:00:00"/>
    <n v="10"/>
    <x v="1"/>
    <n v="2249"/>
    <n v="2249"/>
    <n v="27"/>
    <x v="3"/>
    <s v="0112555333"/>
  </r>
  <r>
    <s v="190008272"/>
    <s v="Brown And CO PLC"/>
    <x v="0"/>
    <x v="0"/>
    <s v="4227301907"/>
    <d v="2024-10-23T00:00:00"/>
    <n v="10"/>
    <x v="1"/>
    <n v="28320"/>
    <n v="28320"/>
    <n v="27"/>
    <x v="3"/>
    <s v="0112555333"/>
  </r>
  <r>
    <s v="190008272"/>
    <s v="Brown And CO PLC"/>
    <x v="0"/>
    <x v="0"/>
    <s v="4227301908"/>
    <d v="2024-10-23T00:00:00"/>
    <n v="10"/>
    <x v="1"/>
    <n v="2249"/>
    <n v="2249"/>
    <n v="27"/>
    <x v="3"/>
    <s v="0112555333"/>
  </r>
  <r>
    <s v="190008272"/>
    <s v="Brown And CO PLC"/>
    <x v="0"/>
    <x v="0"/>
    <s v="5227015491"/>
    <d v="2024-08-26T00:00:00"/>
    <n v="8"/>
    <x v="1"/>
    <n v="-129953"/>
    <n v="-129953"/>
    <n v="85"/>
    <x v="3"/>
    <s v="0112555333"/>
  </r>
  <r>
    <s v="190008600"/>
    <s v="Auto Glance (Pvt) Ltd"/>
    <x v="0"/>
    <x v="0"/>
    <s v="5227012985"/>
    <d v="2024-05-10T00:00:00"/>
    <n v="5"/>
    <x v="1"/>
    <n v="-17664.740000000002"/>
    <n v="-17664.740000000002"/>
    <n v="193"/>
    <x v="235"/>
    <s v="0114320369"/>
  </r>
  <r>
    <s v="190008600"/>
    <s v="Auto Glance (Pvt) Ltd"/>
    <x v="0"/>
    <x v="0"/>
    <s v="4227207279"/>
    <d v="2023-07-05T00:00:00"/>
    <n v="7"/>
    <x v="0"/>
    <n v="10260"/>
    <n v="10260"/>
    <n v="503"/>
    <x v="236"/>
    <s v="0114320369"/>
  </r>
  <r>
    <s v="190008600"/>
    <s v="Auto Glance (Pvt) Ltd"/>
    <x v="0"/>
    <x v="0"/>
    <s v="4227281602"/>
    <d v="2024-05-27T00:00:00"/>
    <n v="5"/>
    <x v="1"/>
    <n v="221280"/>
    <n v="221280"/>
    <n v="176"/>
    <x v="237"/>
    <s v="0114320369"/>
  </r>
  <r>
    <s v="190008600"/>
    <s v="Auto Glance (Pvt) Ltd"/>
    <x v="0"/>
    <x v="0"/>
    <s v="4227285162"/>
    <d v="2024-06-28T00:00:00"/>
    <n v="6"/>
    <x v="1"/>
    <n v="75119"/>
    <n v="0.2"/>
    <n v="144"/>
    <x v="83"/>
    <s v="0114320369"/>
  </r>
  <r>
    <s v="190008600"/>
    <s v="Auto Glance (Pvt) Ltd"/>
    <x v="0"/>
    <x v="0"/>
    <s v="4227290462"/>
    <d v="2024-07-31T00:00:00"/>
    <n v="7"/>
    <x v="1"/>
    <n v="90341"/>
    <n v="90341"/>
    <n v="111"/>
    <x v="238"/>
    <s v="0114320369"/>
  </r>
  <r>
    <s v="190008600"/>
    <s v="Auto Glance (Pvt) Ltd"/>
    <x v="0"/>
    <x v="0"/>
    <s v="4227290463"/>
    <d v="2024-07-31T00:00:00"/>
    <n v="7"/>
    <x v="1"/>
    <n v="100067"/>
    <n v="100067"/>
    <n v="111"/>
    <x v="239"/>
    <s v="0114320369"/>
  </r>
  <r>
    <s v="190008600"/>
    <s v="Auto Glance (Pvt) Ltd"/>
    <x v="0"/>
    <x v="0"/>
    <s v="4227297296"/>
    <d v="2024-09-20T00:00:00"/>
    <n v="9"/>
    <x v="1"/>
    <n v="87084"/>
    <n v="87084"/>
    <n v="60"/>
    <x v="3"/>
    <s v="0114320369"/>
  </r>
  <r>
    <s v="190008600"/>
    <s v="Auto Glance (Pvt) Ltd"/>
    <x v="0"/>
    <x v="0"/>
    <s v="5227012986"/>
    <d v="2023-04-25T00:00:00"/>
    <n v="4"/>
    <x v="0"/>
    <n v="-12960"/>
    <n v="-12960"/>
    <n v="574"/>
    <x v="240"/>
    <s v="0114320369"/>
  </r>
  <r>
    <s v="190008858"/>
    <s v="A.R Care Care"/>
    <x v="0"/>
    <x v="0"/>
    <s v="4227082791"/>
    <d v="2018-10-26T00:00:00"/>
    <n v="10"/>
    <x v="2"/>
    <n v="152367"/>
    <n v="13336"/>
    <n v="2216"/>
    <x v="241"/>
    <s v="0777442012"/>
  </r>
  <r>
    <s v="190010329"/>
    <s v="Mallikarachchi Timber Stores (Pvt)"/>
    <x v="0"/>
    <x v="0"/>
    <s v="4227169241"/>
    <d v="2021-03-09T00:00:00"/>
    <n v="3"/>
    <x v="4"/>
    <n v="6998"/>
    <n v="4800"/>
    <n v="1351"/>
    <x v="242"/>
    <s v="0112171000"/>
  </r>
  <r>
    <s v="190010575"/>
    <s v="Ideal First Choice (Pvt) Ltd"/>
    <x v="0"/>
    <x v="0"/>
    <s v="144771-001009"/>
    <d v="2021-02-25T00:00:00"/>
    <n v="2"/>
    <x v="4"/>
    <n v="-6372.96"/>
    <n v="-6372.96"/>
    <n v="1363"/>
    <x v="243"/>
    <s v="0117869616"/>
  </r>
  <r>
    <s v="190011487"/>
    <s v="Merc-Stop Automotive Solutions"/>
    <x v="0"/>
    <x v="0"/>
    <s v="4227189652"/>
    <d v="2021-10-25T00:00:00"/>
    <n v="10"/>
    <x v="4"/>
    <n v="45900"/>
    <n v="7508.13"/>
    <n v="1121"/>
    <x v="244"/>
    <s v="0112099944"/>
  </r>
  <r>
    <s v="190011487"/>
    <s v="Merc-Stop Automotive Solutions"/>
    <x v="0"/>
    <x v="0"/>
    <s v="4227238222"/>
    <d v="2023-04-01T00:00:00"/>
    <n v="4"/>
    <x v="0"/>
    <n v="14835"/>
    <n v="1038.45"/>
    <n v="598"/>
    <x v="245"/>
    <s v="0112099944"/>
  </r>
  <r>
    <s v="190011610"/>
    <s v="Avinda Auto Engineering (Pvt) Ltd"/>
    <x v="0"/>
    <x v="0"/>
    <s v=""/>
    <d v="2021-11-11T00:00:00"/>
    <n v="11"/>
    <x v="4"/>
    <n v="-4666"/>
    <n v="-4666"/>
    <n v="1104"/>
    <x v="246"/>
    <s v="0776558331"/>
  </r>
  <r>
    <s v="190011610"/>
    <s v="Avinda Auto Engineering (Pvt) Ltd"/>
    <x v="0"/>
    <x v="0"/>
    <s v="158362-858711"/>
    <d v="2021-07-06T00:00:00"/>
    <n v="7"/>
    <x v="4"/>
    <n v="-11088"/>
    <n v="-11088"/>
    <n v="1232"/>
    <x v="247"/>
    <s v="0776558331"/>
  </r>
  <r>
    <s v="190011610"/>
    <s v="Avinda Auto Engineering (Pvt) Ltd"/>
    <x v="0"/>
    <x v="0"/>
    <s v="181020"/>
    <d v="2022-11-24T00:00:00"/>
    <n v="11"/>
    <x v="6"/>
    <n v="-89229.85"/>
    <n v="-89229.85"/>
    <n v="726"/>
    <x v="248"/>
    <s v="0776558331"/>
  </r>
  <r>
    <s v="190011610"/>
    <s v="Avinda Auto Engineering (Pvt) Ltd"/>
    <x v="0"/>
    <x v="0"/>
    <s v="4227172906"/>
    <d v="2021-04-05T00:00:00"/>
    <n v="4"/>
    <x v="4"/>
    <n v="8721"/>
    <n v="8721"/>
    <n v="1324"/>
    <x v="249"/>
    <s v="0776558331"/>
  </r>
  <r>
    <s v="190011610"/>
    <s v="Avinda Auto Engineering (Pvt) Ltd"/>
    <x v="0"/>
    <x v="0"/>
    <s v="4227173027"/>
    <d v="2021-04-05T00:00:00"/>
    <n v="4"/>
    <x v="4"/>
    <n v="5832"/>
    <n v="5832"/>
    <n v="1324"/>
    <x v="250"/>
    <s v="0776558331"/>
  </r>
  <r>
    <s v="190011610"/>
    <s v="Avinda Auto Engineering (Pvt) Ltd"/>
    <x v="0"/>
    <x v="0"/>
    <s v="4227174405"/>
    <d v="2021-04-21T00:00:00"/>
    <n v="4"/>
    <x v="4"/>
    <n v="22162"/>
    <n v="22162"/>
    <n v="1308"/>
    <x v="251"/>
    <s v="0776558331"/>
  </r>
  <r>
    <s v="190011610"/>
    <s v="Avinda Auto Engineering (Pvt) Ltd"/>
    <x v="0"/>
    <x v="0"/>
    <s v="4227175264"/>
    <d v="2021-04-28T00:00:00"/>
    <n v="4"/>
    <x v="4"/>
    <n v="22745"/>
    <n v="22745"/>
    <n v="1301"/>
    <x v="100"/>
    <s v="0776558331"/>
  </r>
  <r>
    <s v="190011610"/>
    <s v="Avinda Auto Engineering (Pvt) Ltd"/>
    <x v="0"/>
    <x v="0"/>
    <s v="4227175505"/>
    <d v="2021-04-29T00:00:00"/>
    <n v="4"/>
    <x v="4"/>
    <n v="13068"/>
    <n v="13068"/>
    <n v="1300"/>
    <x v="252"/>
    <s v="0776558331"/>
  </r>
  <r>
    <s v="190011610"/>
    <s v="Avinda Auto Engineering (Pvt) Ltd"/>
    <x v="0"/>
    <x v="0"/>
    <s v="4227178725"/>
    <d v="2021-06-17T00:00:00"/>
    <n v="6"/>
    <x v="4"/>
    <n v="23095"/>
    <n v="23095"/>
    <n v="1251"/>
    <x v="105"/>
    <s v="0776558331"/>
  </r>
  <r>
    <s v="190011610"/>
    <s v="Avinda Auto Engineering (Pvt) Ltd"/>
    <x v="0"/>
    <x v="0"/>
    <s v="4227179656"/>
    <d v="2021-07-02T00:00:00"/>
    <n v="7"/>
    <x v="4"/>
    <n v="7387"/>
    <n v="7387"/>
    <n v="1236"/>
    <x v="253"/>
    <s v="0776558331"/>
  </r>
  <r>
    <s v="190011610"/>
    <s v="Avinda Auto Engineering (Pvt) Ltd"/>
    <x v="0"/>
    <x v="0"/>
    <s v="4227180137"/>
    <d v="2021-07-08T00:00:00"/>
    <n v="7"/>
    <x v="4"/>
    <n v="76443"/>
    <n v="76443"/>
    <n v="1230"/>
    <x v="254"/>
    <s v="0776558331"/>
  </r>
  <r>
    <s v="190011610"/>
    <s v="Avinda Auto Engineering (Pvt) Ltd"/>
    <x v="0"/>
    <x v="0"/>
    <s v="4227181008"/>
    <d v="2021-07-15T00:00:00"/>
    <n v="7"/>
    <x v="4"/>
    <n v="19238"/>
    <n v="19238"/>
    <n v="1223"/>
    <x v="255"/>
    <s v="0776558331"/>
  </r>
  <r>
    <s v="190011610"/>
    <s v="Avinda Auto Engineering (Pvt) Ltd"/>
    <x v="0"/>
    <x v="0"/>
    <s v="4227182640"/>
    <d v="2021-07-31T00:00:00"/>
    <n v="7"/>
    <x v="4"/>
    <n v="55521"/>
    <n v="55521"/>
    <n v="1207"/>
    <x v="256"/>
    <s v="0776558331"/>
  </r>
  <r>
    <s v="190011610"/>
    <s v="Avinda Auto Engineering (Pvt) Ltd"/>
    <x v="0"/>
    <x v="0"/>
    <s v="4227183467"/>
    <d v="2021-08-06T00:00:00"/>
    <n v="8"/>
    <x v="4"/>
    <n v="19699"/>
    <n v="19699"/>
    <n v="1201"/>
    <x v="257"/>
    <s v="0776558331"/>
  </r>
  <r>
    <s v="190011610"/>
    <s v="Avinda Auto Engineering (Pvt) Ltd"/>
    <x v="0"/>
    <x v="0"/>
    <s v="4227183503"/>
    <d v="2021-08-06T00:00:00"/>
    <n v="8"/>
    <x v="4"/>
    <n v="20520"/>
    <n v="20520"/>
    <n v="1201"/>
    <x v="258"/>
    <s v="0776558331"/>
  </r>
  <r>
    <s v="190011610"/>
    <s v="Avinda Auto Engineering (Pvt) Ltd"/>
    <x v="0"/>
    <x v="0"/>
    <s v="4227184229"/>
    <d v="2021-08-17T00:00:00"/>
    <n v="8"/>
    <x v="4"/>
    <n v="20520"/>
    <n v="20520"/>
    <n v="1190"/>
    <x v="258"/>
    <s v="0776558331"/>
  </r>
  <r>
    <s v="190011610"/>
    <s v="Avinda Auto Engineering (Pvt) Ltd"/>
    <x v="0"/>
    <x v="0"/>
    <s v="4227186858"/>
    <d v="2021-09-28T00:00:00"/>
    <n v="9"/>
    <x v="4"/>
    <n v="68986"/>
    <n v="68986"/>
    <n v="1148"/>
    <x v="259"/>
    <s v="0776558331"/>
  </r>
  <r>
    <s v="190011610"/>
    <s v="Avinda Auto Engineering (Pvt) Ltd"/>
    <x v="0"/>
    <x v="0"/>
    <s v="4227188694"/>
    <d v="2021-10-14T00:00:00"/>
    <n v="10"/>
    <x v="4"/>
    <n v="59041"/>
    <n v="59041"/>
    <n v="1132"/>
    <x v="260"/>
    <s v="0776558331"/>
  </r>
  <r>
    <s v="190011610"/>
    <s v="Avinda Auto Engineering (Pvt) Ltd"/>
    <x v="0"/>
    <x v="0"/>
    <s v="4227189396"/>
    <d v="2021-10-22T00:00:00"/>
    <n v="10"/>
    <x v="4"/>
    <n v="67573"/>
    <n v="67573"/>
    <n v="1124"/>
    <x v="261"/>
    <s v="0776558331"/>
  </r>
  <r>
    <s v="190011610"/>
    <s v="Avinda Auto Engineering (Pvt) Ltd"/>
    <x v="0"/>
    <x v="0"/>
    <s v="4227189414"/>
    <d v="2021-10-22T00:00:00"/>
    <n v="10"/>
    <x v="4"/>
    <n v="6156"/>
    <n v="6156"/>
    <n v="1124"/>
    <x v="262"/>
    <s v="0776558331"/>
  </r>
  <r>
    <s v="190011610"/>
    <s v="Avinda Auto Engineering (Pvt) Ltd"/>
    <x v="0"/>
    <x v="0"/>
    <s v="4227190736"/>
    <d v="2021-10-30T00:00:00"/>
    <n v="10"/>
    <x v="4"/>
    <n v="71299"/>
    <n v="71299"/>
    <n v="1116"/>
    <x v="263"/>
    <s v="0776558331"/>
  </r>
  <r>
    <s v="190011610"/>
    <s v="Avinda Auto Engineering (Pvt) Ltd"/>
    <x v="0"/>
    <x v="0"/>
    <s v="4227219099"/>
    <d v="2022-08-31T00:00:00"/>
    <n v="8"/>
    <x v="6"/>
    <n v="53222"/>
    <n v="9286.14"/>
    <n v="811"/>
    <x v="264"/>
    <s v="0776558331"/>
  </r>
  <r>
    <s v="190011610"/>
    <s v="Avinda Auto Engineering (Pvt) Ltd"/>
    <x v="0"/>
    <x v="0"/>
    <s v="4227220963"/>
    <d v="2022-09-22T00:00:00"/>
    <n v="9"/>
    <x v="6"/>
    <n v="54648"/>
    <n v="54648"/>
    <n v="789"/>
    <x v="265"/>
    <s v="0776558331"/>
  </r>
  <r>
    <s v="190011610"/>
    <s v="Avinda Auto Engineering (Pvt) Ltd"/>
    <x v="0"/>
    <x v="0"/>
    <s v="4227224501"/>
    <d v="2022-10-31T00:00:00"/>
    <n v="10"/>
    <x v="6"/>
    <n v="131100"/>
    <n v="131100"/>
    <n v="750"/>
    <x v="266"/>
    <s v="0776558331"/>
  </r>
  <r>
    <s v="190011610"/>
    <s v="Avinda Auto Engineering (Pvt) Ltd"/>
    <x v="0"/>
    <x v="0"/>
    <s v="4227225204"/>
    <d v="2022-11-11T00:00:00"/>
    <n v="11"/>
    <x v="6"/>
    <n v="45310"/>
    <n v="45310"/>
    <n v="739"/>
    <x v="267"/>
    <s v="0776558331"/>
  </r>
  <r>
    <s v="190011610"/>
    <s v="Avinda Auto Engineering (Pvt) Ltd"/>
    <x v="0"/>
    <x v="0"/>
    <s v="4227226768"/>
    <d v="2022-11-30T00:00:00"/>
    <n v="11"/>
    <x v="6"/>
    <n v="20545"/>
    <n v="20545"/>
    <n v="720"/>
    <x v="268"/>
    <s v="0776558331"/>
  </r>
  <r>
    <s v="190011610"/>
    <s v="Avinda Auto Engineering (Pvt) Ltd"/>
    <x v="0"/>
    <x v="0"/>
    <s v="4227237721"/>
    <d v="2023-03-29T00:00:00"/>
    <n v="3"/>
    <x v="0"/>
    <n v="63756"/>
    <n v="19030.169999999998"/>
    <n v="601"/>
    <x v="269"/>
    <s v="0776558331"/>
  </r>
  <r>
    <s v="190011610"/>
    <s v="Avinda Auto Engineering (Pvt) Ltd"/>
    <x v="0"/>
    <x v="0"/>
    <s v="4227288872"/>
    <d v="2024-07-24T00:00:00"/>
    <n v="7"/>
    <x v="1"/>
    <n v="108607"/>
    <n v="108607"/>
    <n v="118"/>
    <x v="270"/>
    <s v="0776558331"/>
  </r>
  <r>
    <s v="190011610"/>
    <s v="Avinda Auto Engineering (Pvt) Ltd"/>
    <x v="0"/>
    <x v="0"/>
    <s v="4227300913"/>
    <d v="2024-10-16T00:00:00"/>
    <n v="10"/>
    <x v="1"/>
    <n v="24987"/>
    <n v="24987"/>
    <n v="34"/>
    <x v="3"/>
    <s v="0776558331"/>
  </r>
  <r>
    <s v="190011610"/>
    <s v="Avinda Auto Engineering (Pvt) Ltd"/>
    <x v="0"/>
    <x v="0"/>
    <s v="5227015266"/>
    <d v="2024-07-15T00:00:00"/>
    <n v="7"/>
    <x v="1"/>
    <n v="-29222"/>
    <n v="-29222"/>
    <n v="127"/>
    <x v="271"/>
    <s v="0776558331"/>
  </r>
  <r>
    <s v="190011636"/>
    <s v="D. S. N. Auto Parts (Pvt) Ltd"/>
    <x v="0"/>
    <x v="0"/>
    <s v="4227167327"/>
    <d v="2021-02-20T00:00:00"/>
    <n v="2"/>
    <x v="4"/>
    <n v="5702"/>
    <n v="571"/>
    <n v="1368"/>
    <x v="272"/>
    <s v="0776583680"/>
  </r>
  <r>
    <s v="190011936"/>
    <s v="Monarch Important"/>
    <x v="0"/>
    <x v="0"/>
    <s v=""/>
    <d v="2021-07-28T00:00:00"/>
    <n v="7"/>
    <x v="4"/>
    <n v="581"/>
    <n v="581"/>
    <n v="1210"/>
    <x v="273"/>
    <s v="0703550030"/>
  </r>
  <r>
    <s v="190012905"/>
    <s v="Mercstop (PVt) Ltd"/>
    <x v="0"/>
    <x v="0"/>
    <s v="225803/001726"/>
    <d v="2024-05-26T00:00:00"/>
    <n v="5"/>
    <x v="1"/>
    <n v="3965"/>
    <n v="3965"/>
    <n v="177"/>
    <x v="274"/>
    <s v="0773124402"/>
  </r>
  <r>
    <s v="190012905"/>
    <s v="Mercstop (PVt) Ltd"/>
    <x v="0"/>
    <x v="0"/>
    <s v="225803/001697"/>
    <d v="2024-05-26T00:00:00"/>
    <n v="5"/>
    <x v="1"/>
    <n v="991.2"/>
    <n v="991.2"/>
    <n v="177"/>
    <x v="171"/>
    <s v="0773124402"/>
  </r>
  <r>
    <s v="190012905"/>
    <s v="Mercstop (PVt) Ltd"/>
    <x v="0"/>
    <x v="0"/>
    <s v="4227231717"/>
    <d v="2023-01-26T00:00:00"/>
    <n v="1"/>
    <x v="0"/>
    <n v="12880"/>
    <n v="11414.27"/>
    <n v="663"/>
    <x v="275"/>
    <s v="0773124402"/>
  </r>
  <r>
    <s v="190012905"/>
    <s v="Mercstop (PVt) Ltd"/>
    <x v="0"/>
    <x v="0"/>
    <s v="4227246263"/>
    <d v="2023-06-30T00:00:00"/>
    <n v="6"/>
    <x v="0"/>
    <n v="62100"/>
    <n v="14493.54"/>
    <n v="508"/>
    <x v="276"/>
    <s v="0773124402"/>
  </r>
  <r>
    <s v="190012905"/>
    <s v="Mercstop (PVt) Ltd"/>
    <x v="0"/>
    <x v="0"/>
    <s v="4227259395"/>
    <d v="2023-10-27T00:00:00"/>
    <n v="10"/>
    <x v="0"/>
    <n v="195040"/>
    <n v="13652.8"/>
    <n v="389"/>
    <x v="277"/>
    <s v="0773124402"/>
  </r>
  <r>
    <s v="190012905"/>
    <s v="Mercstop (PVt) Ltd"/>
    <x v="0"/>
    <x v="0"/>
    <s v="4227265728"/>
    <d v="2023-12-28T00:00:00"/>
    <n v="12"/>
    <x v="0"/>
    <n v="72151"/>
    <n v="5050.57"/>
    <n v="327"/>
    <x v="278"/>
    <s v="0773124402"/>
  </r>
  <r>
    <s v="190012905"/>
    <s v="Mercstop (PVt) Ltd"/>
    <x v="0"/>
    <x v="0"/>
    <s v="4227269327"/>
    <d v="2024-01-29T00:00:00"/>
    <n v="1"/>
    <x v="1"/>
    <n v="33134"/>
    <n v="2319.38"/>
    <n v="295"/>
    <x v="279"/>
    <s v="0773124402"/>
  </r>
  <r>
    <s v="190012905"/>
    <s v="Mercstop (PVt) Ltd"/>
    <x v="0"/>
    <x v="0"/>
    <s v="4227273004"/>
    <d v="2024-02-29T00:00:00"/>
    <n v="2"/>
    <x v="1"/>
    <n v="56640"/>
    <n v="3964.8"/>
    <n v="264"/>
    <x v="280"/>
    <s v="0773124402"/>
  </r>
  <r>
    <s v="190012905"/>
    <s v="Mercstop (PVt) Ltd"/>
    <x v="0"/>
    <x v="0"/>
    <s v="4227273455"/>
    <d v="2024-03-04T00:00:00"/>
    <n v="3"/>
    <x v="1"/>
    <n v="7434"/>
    <n v="520.38"/>
    <n v="260"/>
    <x v="281"/>
    <s v="0773124402"/>
  </r>
  <r>
    <s v="190012905"/>
    <s v="Mercstop (PVt) Ltd"/>
    <x v="0"/>
    <x v="0"/>
    <s v="4227274424"/>
    <d v="2024-03-13T00:00:00"/>
    <n v="3"/>
    <x v="1"/>
    <n v="52930"/>
    <n v="7926.5"/>
    <n v="251"/>
    <x v="282"/>
    <s v="0773124402"/>
  </r>
  <r>
    <s v="190012905"/>
    <s v="Mercstop (PVt) Ltd"/>
    <x v="0"/>
    <x v="0"/>
    <s v="4227275907"/>
    <d v="2024-03-26T00:00:00"/>
    <n v="3"/>
    <x v="1"/>
    <n v="12213"/>
    <n v="854.91"/>
    <n v="238"/>
    <x v="283"/>
    <s v="0773124402"/>
  </r>
  <r>
    <s v="190012905"/>
    <s v="Mercstop (PVt) Ltd"/>
    <x v="0"/>
    <x v="0"/>
    <s v="4227283936"/>
    <d v="2024-06-14T00:00:00"/>
    <n v="6"/>
    <x v="1"/>
    <n v="6136"/>
    <n v="6136"/>
    <n v="158"/>
    <x v="284"/>
    <s v="0773124402"/>
  </r>
  <r>
    <s v="190012905"/>
    <s v="Mercstop (PVt) Ltd"/>
    <x v="0"/>
    <x v="0"/>
    <s v="4227283952"/>
    <d v="2024-06-15T00:00:00"/>
    <n v="6"/>
    <x v="1"/>
    <n v="50150"/>
    <n v="3510.5"/>
    <n v="157"/>
    <x v="285"/>
    <s v="0773124402"/>
  </r>
  <r>
    <s v="190012905"/>
    <s v="Mercstop (PVt) Ltd"/>
    <x v="0"/>
    <x v="0"/>
    <s v="4227286516"/>
    <d v="2024-07-08T00:00:00"/>
    <n v="7"/>
    <x v="1"/>
    <n v="72688"/>
    <n v="5088.16"/>
    <n v="134"/>
    <x v="286"/>
    <s v="0773124402"/>
  </r>
  <r>
    <s v="190012905"/>
    <s v="Mercstop (PVt) Ltd"/>
    <x v="0"/>
    <x v="0"/>
    <s v="4227287038"/>
    <d v="2024-07-11T00:00:00"/>
    <n v="7"/>
    <x v="1"/>
    <n v="124281"/>
    <n v="26542.17"/>
    <n v="131"/>
    <x v="287"/>
    <s v="0773124402"/>
  </r>
  <r>
    <s v="190012905"/>
    <s v="Mercstop (PVt) Ltd"/>
    <x v="0"/>
    <x v="0"/>
    <s v="4227293881"/>
    <d v="2024-08-28T00:00:00"/>
    <n v="8"/>
    <x v="1"/>
    <n v="28320"/>
    <n v="1982.4"/>
    <n v="83"/>
    <x v="3"/>
    <s v="0773124402"/>
  </r>
  <r>
    <s v="190014257"/>
    <s v="Valenting By Merc Stop (Pvt) Ltd"/>
    <x v="0"/>
    <x v="0"/>
    <s v="225842 / 972995"/>
    <d v="2024-07-31T00:00:00"/>
    <n v="7"/>
    <x v="1"/>
    <n v="-45631"/>
    <n v="-45631"/>
    <n v="111"/>
    <x v="288"/>
    <s v=""/>
  </r>
  <r>
    <s v="190014257"/>
    <s v="Valenting By Merc Stop (Pvt) Ltd"/>
    <x v="0"/>
    <x v="0"/>
    <s v="4227268115"/>
    <d v="2024-01-18T00:00:00"/>
    <n v="1"/>
    <x v="1"/>
    <n v="18054"/>
    <n v="18054"/>
    <n v="306"/>
    <x v="289"/>
    <s v=""/>
  </r>
  <r>
    <s v="190014257"/>
    <s v="Valenting By Merc Stop (Pvt) Ltd"/>
    <x v="0"/>
    <x v="0"/>
    <s v="4227293697"/>
    <d v="2024-08-27T00:00:00"/>
    <n v="8"/>
    <x v="1"/>
    <n v="28320"/>
    <n v="3304"/>
    <n v="84"/>
    <x v="3"/>
    <s v=""/>
  </r>
  <r>
    <s v="190014257"/>
    <s v="Valenting By Merc Stop (Pvt) Ltd"/>
    <x v="0"/>
    <x v="0"/>
    <s v="4227296892"/>
    <d v="2024-09-20T00:00:00"/>
    <n v="9"/>
    <x v="1"/>
    <n v="19470"/>
    <n v="19470"/>
    <n v="60"/>
    <x v="3"/>
    <s v=""/>
  </r>
  <r>
    <s v="190014836"/>
    <s v="Merc - Stop Hybr Electronic"/>
    <x v="0"/>
    <x v="0"/>
    <s v="4227285900"/>
    <d v="2024-06-29T00:00:00"/>
    <n v="6"/>
    <x v="1"/>
    <n v="54516"/>
    <n v="3816.12"/>
    <n v="143"/>
    <x v="290"/>
    <s v="0773124401"/>
  </r>
  <r>
    <s v="190014836"/>
    <s v="Merc - Stop Hybr Electronic"/>
    <x v="0"/>
    <x v="0"/>
    <s v="4227294676"/>
    <d v="2024-08-30T00:00:00"/>
    <n v="8"/>
    <x v="1"/>
    <n v="72688"/>
    <n v="72688"/>
    <n v="81"/>
    <x v="3"/>
    <s v="0773124401"/>
  </r>
  <r>
    <s v="190000020"/>
    <s v="Pronto Total Car Care"/>
    <x v="1"/>
    <x v="1"/>
    <s v="4227294015"/>
    <d v="2024-08-28T00:00:00"/>
    <n v="8"/>
    <x v="1"/>
    <n v="3998"/>
    <n v="3998"/>
    <n v="83"/>
    <x v="3"/>
    <s v="773942784"/>
  </r>
  <r>
    <s v="190000035"/>
    <s v="Chaminda Motors"/>
    <x v="1"/>
    <x v="1"/>
    <s v="204787/102966"/>
    <d v="2023-10-03T00:00:00"/>
    <n v="10"/>
    <x v="0"/>
    <n v="-3188"/>
    <n v="-150"/>
    <n v="413"/>
    <x v="291"/>
    <s v="0714329796"/>
  </r>
  <r>
    <s v="190000035"/>
    <s v="Chaminda Motors"/>
    <x v="1"/>
    <x v="1"/>
    <s v="4227289146"/>
    <d v="2024-07-25T00:00:00"/>
    <n v="7"/>
    <x v="1"/>
    <n v="4098"/>
    <n v="4098"/>
    <n v="117"/>
    <x v="292"/>
    <s v="0714329796"/>
  </r>
  <r>
    <s v="190000035"/>
    <s v="Chaminda Motors"/>
    <x v="1"/>
    <x v="1"/>
    <s v="4227297737"/>
    <d v="2024-09-26T00:00:00"/>
    <n v="9"/>
    <x v="1"/>
    <n v="7434"/>
    <n v="7434"/>
    <n v="54"/>
    <x v="3"/>
    <s v="0714329796"/>
  </r>
  <r>
    <s v="190000339"/>
    <s v="Flower Dream"/>
    <x v="1"/>
    <x v="1"/>
    <s v="4227215593"/>
    <d v="2022-07-20T00:00:00"/>
    <n v="7"/>
    <x v="6"/>
    <n v="39648"/>
    <n v="14762"/>
    <n v="853"/>
    <x v="293"/>
    <s v="112696963"/>
  </r>
  <r>
    <s v="190000339"/>
    <s v="Flower Dream"/>
    <x v="1"/>
    <x v="1"/>
    <s v="4227227871"/>
    <d v="2022-12-15T00:00:00"/>
    <n v="12"/>
    <x v="6"/>
    <n v="4025"/>
    <n v="4025"/>
    <n v="705"/>
    <x v="294"/>
    <s v="112696963"/>
  </r>
  <r>
    <s v="190000386"/>
    <s v="Auto Guide Park"/>
    <x v="1"/>
    <x v="1"/>
    <s v="4227289831"/>
    <d v="2024-07-30T00:00:00"/>
    <n v="7"/>
    <x v="1"/>
    <n v="4366"/>
    <n v="6"/>
    <n v="112"/>
    <x v="295"/>
    <s v="777628434"/>
  </r>
  <r>
    <s v="190000386"/>
    <s v="Auto Guide Park"/>
    <x v="1"/>
    <x v="1"/>
    <s v="4227295320"/>
    <d v="2024-09-03T00:00:00"/>
    <n v="9"/>
    <x v="1"/>
    <n v="22656"/>
    <n v="22656"/>
    <n v="77"/>
    <x v="3"/>
    <s v="777628434"/>
  </r>
  <r>
    <s v="190000386"/>
    <s v="Auto Guide Park"/>
    <x v="1"/>
    <x v="1"/>
    <s v="4227298875"/>
    <d v="2024-09-30T00:00:00"/>
    <n v="9"/>
    <x v="1"/>
    <n v="24886"/>
    <n v="24886"/>
    <n v="50"/>
    <x v="3"/>
    <s v="777628434"/>
  </r>
  <r>
    <s v="190000386"/>
    <s v="Auto Guide Park"/>
    <x v="1"/>
    <x v="1"/>
    <s v="4227304372"/>
    <d v="2024-10-31T00:00:00"/>
    <n v="10"/>
    <x v="1"/>
    <n v="49702"/>
    <n v="49702"/>
    <n v="19"/>
    <x v="3"/>
    <s v="777628434"/>
  </r>
  <r>
    <s v="190000488"/>
    <s v="Nadee Battery &amp; Oil Centre"/>
    <x v="1"/>
    <x v="1"/>
    <s v="RTN CHQ - 69988"/>
    <d v="2023-05-12T00:00:00"/>
    <n v="5"/>
    <x v="0"/>
    <n v="86736"/>
    <n v="58924"/>
    <n v="557"/>
    <x v="296"/>
    <s v="0113055333"/>
  </r>
  <r>
    <s v="190000488"/>
    <s v="Nadee Battery &amp; Oil Centre"/>
    <x v="1"/>
    <x v="1"/>
    <s v="RTN CHQ - 69988"/>
    <d v="2023-05-15T00:00:00"/>
    <n v="5"/>
    <x v="0"/>
    <n v="86736"/>
    <n v="86736"/>
    <n v="554"/>
    <x v="297"/>
    <s v="0113055333"/>
  </r>
  <r>
    <s v="190000488"/>
    <s v="Nadee Battery &amp; Oil Centre"/>
    <x v="1"/>
    <x v="1"/>
    <s v="199842 / 072962"/>
    <d v="2023-05-31T00:00:00"/>
    <n v="5"/>
    <x v="0"/>
    <n v="-86736"/>
    <n v="-86736"/>
    <n v="538"/>
    <x v="298"/>
    <s v="0113055333"/>
  </r>
  <r>
    <s v="190000488"/>
    <s v="Nadee Battery &amp; Oil Centre"/>
    <x v="1"/>
    <x v="1"/>
    <s v="228662 / 098655"/>
    <d v="2024-08-26T00:00:00"/>
    <n v="8"/>
    <x v="1"/>
    <n v="-241"/>
    <n v="-241"/>
    <n v="85"/>
    <x v="3"/>
    <s v="0113055333"/>
  </r>
  <r>
    <s v="190000488"/>
    <s v="Nadee Battery &amp; Oil Centre"/>
    <x v="1"/>
    <x v="1"/>
    <s v="4227264933"/>
    <d v="2023-12-19T00:00:00"/>
    <n v="12"/>
    <x v="0"/>
    <n v="19550"/>
    <n v="241"/>
    <n v="336"/>
    <x v="299"/>
    <s v="0113055333"/>
  </r>
  <r>
    <s v="190000488"/>
    <s v="Nadee Battery &amp; Oil Centre"/>
    <x v="1"/>
    <x v="1"/>
    <s v="4227264985"/>
    <d v="2023-12-20T00:00:00"/>
    <n v="12"/>
    <x v="0"/>
    <n v="131704"/>
    <n v="13973"/>
    <n v="335"/>
    <x v="300"/>
    <s v="0113055333"/>
  </r>
  <r>
    <s v="190000488"/>
    <s v="Nadee Battery &amp; Oil Centre"/>
    <x v="1"/>
    <x v="1"/>
    <s v="4227294004"/>
    <d v="2024-08-28T00:00:00"/>
    <n v="8"/>
    <x v="1"/>
    <n v="6195"/>
    <n v="6195"/>
    <n v="83"/>
    <x v="3"/>
    <s v="0113055333"/>
  </r>
  <r>
    <s v="190000488"/>
    <s v="Nadee Battery &amp; Oil Centre"/>
    <x v="1"/>
    <x v="1"/>
    <s v="4227294016"/>
    <d v="2024-08-28T00:00:00"/>
    <n v="8"/>
    <x v="1"/>
    <n v="11328"/>
    <n v="11328"/>
    <n v="83"/>
    <x v="3"/>
    <s v="0113055333"/>
  </r>
  <r>
    <s v="190000488"/>
    <s v="Nadee Battery &amp; Oil Centre"/>
    <x v="1"/>
    <x v="1"/>
    <s v="4227294269"/>
    <d v="2024-08-29T00:00:00"/>
    <n v="8"/>
    <x v="1"/>
    <n v="27527"/>
    <n v="27527"/>
    <n v="82"/>
    <x v="3"/>
    <s v="0113055333"/>
  </r>
  <r>
    <s v="190000488"/>
    <s v="Nadee Battery &amp; Oil Centre"/>
    <x v="1"/>
    <x v="1"/>
    <s v="4227295797"/>
    <d v="2024-09-09T00:00:00"/>
    <n v="9"/>
    <x v="1"/>
    <n v="4602"/>
    <n v="4602"/>
    <n v="71"/>
    <x v="3"/>
    <s v="0113055333"/>
  </r>
  <r>
    <s v="190000488"/>
    <s v="Nadee Battery &amp; Oil Centre"/>
    <x v="1"/>
    <x v="1"/>
    <s v="4227296908"/>
    <d v="2024-09-20T00:00:00"/>
    <n v="9"/>
    <x v="1"/>
    <n v="7788"/>
    <n v="7788"/>
    <n v="60"/>
    <x v="3"/>
    <s v="0113055333"/>
  </r>
  <r>
    <s v="190000488"/>
    <s v="Nadee Battery &amp; Oil Centre"/>
    <x v="1"/>
    <x v="1"/>
    <s v="4227297745"/>
    <d v="2024-09-26T00:00:00"/>
    <n v="9"/>
    <x v="1"/>
    <n v="25233"/>
    <n v="25233"/>
    <n v="54"/>
    <x v="3"/>
    <s v="0113055333"/>
  </r>
  <r>
    <s v="190000488"/>
    <s v="Nadee Battery &amp; Oil Centre"/>
    <x v="1"/>
    <x v="1"/>
    <s v="4227298201"/>
    <d v="2024-09-28T00:00:00"/>
    <n v="9"/>
    <x v="1"/>
    <n v="28491"/>
    <n v="28491"/>
    <n v="52"/>
    <x v="3"/>
    <s v="0113055333"/>
  </r>
  <r>
    <s v="190000488"/>
    <s v="Nadee Battery &amp; Oil Centre"/>
    <x v="1"/>
    <x v="1"/>
    <s v="4227299400"/>
    <d v="2024-10-04T00:00:00"/>
    <n v="10"/>
    <x v="1"/>
    <n v="27527"/>
    <n v="27527"/>
    <n v="46"/>
    <x v="3"/>
    <s v="0113055333"/>
  </r>
  <r>
    <s v="190000488"/>
    <s v="Nadee Battery &amp; Oil Centre"/>
    <x v="1"/>
    <x v="1"/>
    <s v="4227300362"/>
    <d v="2024-10-11T00:00:00"/>
    <n v="10"/>
    <x v="1"/>
    <n v="30586"/>
    <n v="30586"/>
    <n v="39"/>
    <x v="3"/>
    <s v="0113055333"/>
  </r>
  <r>
    <s v="190000642"/>
    <s v="Hilton Paints &amp; Hardware Stores"/>
    <x v="1"/>
    <x v="1"/>
    <s v="5227015447"/>
    <d v="2024-08-15T00:00:00"/>
    <n v="8"/>
    <x v="1"/>
    <n v="-9770"/>
    <n v="-2639"/>
    <n v="96"/>
    <x v="301"/>
    <s v="112334048"/>
  </r>
  <r>
    <s v="190000838"/>
    <s v="Unic Paint Centre"/>
    <x v="1"/>
    <x v="1"/>
    <s v="4227267293"/>
    <d v="2024-01-10T00:00:00"/>
    <n v="1"/>
    <x v="1"/>
    <n v="14750"/>
    <n v="8750"/>
    <n v="314"/>
    <x v="302"/>
    <s v="112692954"/>
  </r>
  <r>
    <s v="190000839"/>
    <s v="Universal Auto Electrical"/>
    <x v="1"/>
    <x v="1"/>
    <s v="4227221122"/>
    <d v="2022-09-23T00:00:00"/>
    <n v="9"/>
    <x v="6"/>
    <n v="76176"/>
    <n v="76176"/>
    <n v="788"/>
    <x v="303"/>
    <s v="112689196"/>
  </r>
  <r>
    <s v="190000892"/>
    <s v="Ceylon Paint Center"/>
    <x v="1"/>
    <x v="1"/>
    <s v="4227063464"/>
    <d v="2018-05-03T00:00:00"/>
    <n v="5"/>
    <x v="2"/>
    <n v="36639"/>
    <n v="8139"/>
    <n v="2392"/>
    <x v="304"/>
    <s v="112448359"/>
  </r>
  <r>
    <s v="190000892"/>
    <s v="Ceylon Paint Center"/>
    <x v="1"/>
    <x v="1"/>
    <s v="4227073481"/>
    <d v="2018-07-31T00:00:00"/>
    <n v="7"/>
    <x v="2"/>
    <n v="3881"/>
    <n v="3881"/>
    <n v="2303"/>
    <x v="30"/>
    <s v="112448359"/>
  </r>
  <r>
    <s v="190000892"/>
    <s v="Ceylon Paint Center"/>
    <x v="1"/>
    <x v="1"/>
    <s v="4227077071"/>
    <d v="2018-09-05T00:00:00"/>
    <n v="9"/>
    <x v="2"/>
    <n v="4658"/>
    <n v="4658"/>
    <n v="2267"/>
    <x v="305"/>
    <s v="112448359"/>
  </r>
  <r>
    <s v="190000895"/>
    <s v="Dolphin Auto Radiators"/>
    <x v="1"/>
    <x v="1"/>
    <s v="5227015196"/>
    <d v="2024-06-27T00:00:00"/>
    <n v="6"/>
    <x v="1"/>
    <n v="-101775"/>
    <n v="-15525"/>
    <n v="145"/>
    <x v="306"/>
    <s v="112433151"/>
  </r>
  <r>
    <s v="190000899"/>
    <s v="Hambantota Agencies(Distributors)"/>
    <x v="1"/>
    <x v="1"/>
    <s v="4227177705"/>
    <d v="2021-05-25T00:00:00"/>
    <n v="5"/>
    <x v="4"/>
    <n v="34214"/>
    <n v="122"/>
    <n v="1274"/>
    <x v="307"/>
    <s v="773022720"/>
  </r>
  <r>
    <s v="190000899"/>
    <s v="Hambantota Agencies(Distributors)"/>
    <x v="1"/>
    <x v="1"/>
    <s v="4227223648"/>
    <d v="2022-10-25T00:00:00"/>
    <n v="10"/>
    <x v="6"/>
    <n v="101568"/>
    <n v="21661"/>
    <n v="756"/>
    <x v="308"/>
    <s v="773022720"/>
  </r>
  <r>
    <s v="190000899"/>
    <s v="Hambantota Agencies(Distributors)"/>
    <x v="1"/>
    <x v="1"/>
    <s v="4227239986"/>
    <d v="2023-04-29T00:00:00"/>
    <n v="4"/>
    <x v="0"/>
    <n v="91080"/>
    <n v="61030"/>
    <n v="570"/>
    <x v="309"/>
    <s v="773022720"/>
  </r>
  <r>
    <s v="190000959"/>
    <s v="Jayamanna Motors"/>
    <x v="1"/>
    <x v="1"/>
    <s v="4227226858"/>
    <d v="2022-11-30T00:00:00"/>
    <n v="11"/>
    <x v="6"/>
    <n v="15111"/>
    <n v="979"/>
    <n v="720"/>
    <x v="310"/>
    <s v="777480661"/>
  </r>
  <r>
    <s v="190000959"/>
    <s v="Jayamanna Motors"/>
    <x v="1"/>
    <x v="1"/>
    <s v="4227226859"/>
    <d v="2022-11-30T00:00:00"/>
    <n v="11"/>
    <x v="6"/>
    <n v="11075"/>
    <n v="11075"/>
    <n v="720"/>
    <x v="311"/>
    <s v="777480661"/>
  </r>
  <r>
    <s v="190000959"/>
    <s v="Jayamanna Motors"/>
    <x v="1"/>
    <x v="1"/>
    <s v="4227226863"/>
    <d v="2022-11-30T00:00:00"/>
    <n v="11"/>
    <x v="6"/>
    <n v="17543"/>
    <n v="17543"/>
    <n v="720"/>
    <x v="312"/>
    <s v="777480661"/>
  </r>
  <r>
    <s v="190000959"/>
    <s v="Jayamanna Motors"/>
    <x v="1"/>
    <x v="1"/>
    <s v="4227244176"/>
    <d v="2023-06-13T00:00:00"/>
    <n v="6"/>
    <x v="0"/>
    <n v="134612"/>
    <n v="134612"/>
    <n v="525"/>
    <x v="313"/>
    <s v="777480661"/>
  </r>
  <r>
    <s v="190000961"/>
    <s v="Jayasinghe Motors"/>
    <x v="1"/>
    <x v="1"/>
    <s v="4227245719"/>
    <d v="2023-06-28T00:00:00"/>
    <n v="6"/>
    <x v="0"/>
    <n v="66125"/>
    <n v="8625"/>
    <n v="510"/>
    <x v="52"/>
    <s v="771624101"/>
  </r>
  <r>
    <s v="190000961"/>
    <s v="Jayasinghe Motors"/>
    <x v="1"/>
    <x v="1"/>
    <s v="4227268462"/>
    <d v="2024-01-22T00:00:00"/>
    <n v="1"/>
    <x v="1"/>
    <n v="33984"/>
    <n v="33984"/>
    <n v="302"/>
    <x v="314"/>
    <s v="771624101"/>
  </r>
  <r>
    <s v="190000961"/>
    <s v="Jayasinghe Motors"/>
    <x v="1"/>
    <x v="1"/>
    <s v="4227274977"/>
    <d v="2024-03-19T00:00:00"/>
    <n v="3"/>
    <x v="1"/>
    <n v="17169"/>
    <n v="17169"/>
    <n v="245"/>
    <x v="315"/>
    <s v="771624101"/>
  </r>
  <r>
    <s v="190000983"/>
    <s v="Rexton Motors"/>
    <x v="1"/>
    <x v="1"/>
    <s v="206681/436831"/>
    <d v="2023-08-28T00:00:00"/>
    <n v="8"/>
    <x v="0"/>
    <n v="-483"/>
    <n v="-483"/>
    <n v="449"/>
    <x v="316"/>
    <s v="773692293"/>
  </r>
  <r>
    <s v="190000983"/>
    <s v="Rexton Motors"/>
    <x v="1"/>
    <x v="1"/>
    <s v="4227217675"/>
    <d v="2022-08-19T00:00:00"/>
    <n v="8"/>
    <x v="6"/>
    <n v="32044"/>
    <n v="19755"/>
    <n v="823"/>
    <x v="317"/>
    <s v="773692293"/>
  </r>
  <r>
    <s v="190000983"/>
    <s v="Rexton Motors"/>
    <x v="1"/>
    <x v="1"/>
    <s v="4227221540"/>
    <d v="2022-09-28T00:00:00"/>
    <n v="9"/>
    <x v="6"/>
    <n v="18630"/>
    <n v="18630"/>
    <n v="783"/>
    <x v="318"/>
    <s v="773692293"/>
  </r>
  <r>
    <s v="190000983"/>
    <s v="Rexton Motors"/>
    <x v="1"/>
    <x v="1"/>
    <s v="4227228626"/>
    <d v="2022-12-23T00:00:00"/>
    <n v="12"/>
    <x v="6"/>
    <n v="32200"/>
    <n v="650"/>
    <n v="697"/>
    <x v="319"/>
    <s v="773692293"/>
  </r>
  <r>
    <s v="190000983"/>
    <s v="Rexton Motors"/>
    <x v="1"/>
    <x v="1"/>
    <s v="4227234354"/>
    <d v="2023-02-21T00:00:00"/>
    <n v="2"/>
    <x v="0"/>
    <n v="50935"/>
    <n v="50935"/>
    <n v="637"/>
    <x v="320"/>
    <s v="773692293"/>
  </r>
  <r>
    <s v="190000983"/>
    <s v="Rexton Motors"/>
    <x v="1"/>
    <x v="1"/>
    <s v="4227247394"/>
    <d v="2023-07-13T00:00:00"/>
    <n v="7"/>
    <x v="0"/>
    <n v="13248"/>
    <n v="13248"/>
    <n v="495"/>
    <x v="321"/>
    <s v="773692293"/>
  </r>
  <r>
    <s v="190000985"/>
    <s v="Runner Way Motors"/>
    <x v="1"/>
    <x v="1"/>
    <s v="4227252886"/>
    <d v="2023-09-04T00:00:00"/>
    <n v="9"/>
    <x v="0"/>
    <n v="7245"/>
    <n v="7245"/>
    <n v="442"/>
    <x v="322"/>
    <s v="776599855"/>
  </r>
  <r>
    <s v="190000985"/>
    <s v="Runner Way Motors"/>
    <x v="1"/>
    <x v="1"/>
    <s v="4227304104"/>
    <d v="2024-10-31T00:00:00"/>
    <n v="10"/>
    <x v="1"/>
    <n v="32379"/>
    <n v="32379"/>
    <n v="19"/>
    <x v="3"/>
    <s v="776599855"/>
  </r>
  <r>
    <s v="190000985"/>
    <s v="Runner Way Motors"/>
    <x v="1"/>
    <x v="1"/>
    <s v="5227015950"/>
    <d v="2024-11-18T00:00:00"/>
    <n v="11"/>
    <x v="1"/>
    <n v="-7245"/>
    <n v="-7245"/>
    <n v="1"/>
    <x v="3"/>
    <s v="776599855"/>
  </r>
  <r>
    <s v="190000997"/>
    <s v="Vishva Enterprises"/>
    <x v="1"/>
    <x v="1"/>
    <s v="4227216254"/>
    <d v="2022-07-30T00:00:00"/>
    <n v="7"/>
    <x v="6"/>
    <n v="118944"/>
    <n v="45192"/>
    <n v="843"/>
    <x v="323"/>
    <s v="112694636"/>
  </r>
  <r>
    <s v="190001679"/>
    <s v="Udaya Motors"/>
    <x v="1"/>
    <x v="1"/>
    <s v="4227017762"/>
    <d v="2016-12-07T00:00:00"/>
    <n v="12"/>
    <x v="2"/>
    <n v="12950"/>
    <n v="12950"/>
    <n v="2904"/>
    <x v="324"/>
    <s v="777721570"/>
  </r>
  <r>
    <s v="190001679"/>
    <s v="Udaya Motors"/>
    <x v="1"/>
    <x v="1"/>
    <s v="4227297314"/>
    <d v="2024-09-20T00:00:00"/>
    <n v="9"/>
    <x v="1"/>
    <n v="46463"/>
    <n v="46463"/>
    <n v="60"/>
    <x v="3"/>
    <s v="777721570"/>
  </r>
  <r>
    <s v="190001950"/>
    <s v="U. S. Motors"/>
    <x v="1"/>
    <x v="1"/>
    <s v="4227258713"/>
    <d v="2023-10-20T00:00:00"/>
    <n v="10"/>
    <x v="0"/>
    <n v="26910"/>
    <n v="270"/>
    <n v="396"/>
    <x v="325"/>
    <s v="112922290"/>
  </r>
  <r>
    <s v="190001950"/>
    <s v="U. S. Motors"/>
    <x v="1"/>
    <x v="1"/>
    <s v="4227290292"/>
    <d v="2024-07-31T00:00:00"/>
    <n v="7"/>
    <x v="1"/>
    <n v="944"/>
    <n v="944"/>
    <n v="111"/>
    <x v="326"/>
    <s v="112922290"/>
  </r>
  <r>
    <s v="190001950"/>
    <s v="U. S. Motors"/>
    <x v="1"/>
    <x v="1"/>
    <s v="4227293570"/>
    <d v="2024-08-26T00:00:00"/>
    <n v="8"/>
    <x v="1"/>
    <n v="15576"/>
    <n v="15576"/>
    <n v="85"/>
    <x v="3"/>
    <s v="112922290"/>
  </r>
  <r>
    <s v="190001950"/>
    <s v="U. S. Motors"/>
    <x v="1"/>
    <x v="1"/>
    <s v="4227298070"/>
    <d v="2024-09-27T00:00:00"/>
    <n v="9"/>
    <x v="1"/>
    <n v="42067"/>
    <n v="42067"/>
    <n v="53"/>
    <x v="3"/>
    <s v="112922290"/>
  </r>
  <r>
    <s v="190001950"/>
    <s v="U. S. Motors"/>
    <x v="1"/>
    <x v="1"/>
    <s v="4227304121"/>
    <d v="2024-10-31T00:00:00"/>
    <n v="10"/>
    <x v="1"/>
    <n v="10856"/>
    <n v="10856"/>
    <n v="19"/>
    <x v="3"/>
    <s v="112922290"/>
  </r>
  <r>
    <s v="190001950"/>
    <s v="U. S. Motors"/>
    <x v="1"/>
    <x v="1"/>
    <s v="4227304254"/>
    <d v="2024-10-31T00:00:00"/>
    <n v="10"/>
    <x v="1"/>
    <n v="3500"/>
    <n v="3500"/>
    <n v="19"/>
    <x v="3"/>
    <s v="112922290"/>
  </r>
  <r>
    <s v="190001950"/>
    <s v="U. S. Motors"/>
    <x v="1"/>
    <x v="1"/>
    <s v="4227304331"/>
    <d v="2024-10-31T00:00:00"/>
    <n v="10"/>
    <x v="1"/>
    <n v="31180"/>
    <n v="31180"/>
    <n v="19"/>
    <x v="3"/>
    <s v="112922290"/>
  </r>
  <r>
    <s v="190002509"/>
    <s v="Chandana Auto Engineering"/>
    <x v="1"/>
    <x v="1"/>
    <s v="RTN CHQ 122696"/>
    <d v="2024-10-30T00:00:00"/>
    <n v="10"/>
    <x v="1"/>
    <n v="89321"/>
    <n v="89321"/>
    <n v="20"/>
    <x v="3"/>
    <s v="777689175"/>
  </r>
  <r>
    <s v="190002509"/>
    <s v="Chandana Auto Engineering"/>
    <x v="1"/>
    <x v="1"/>
    <s v="4227301286"/>
    <d v="2024-10-19T00:00:00"/>
    <n v="10"/>
    <x v="1"/>
    <n v="77993"/>
    <n v="77993"/>
    <n v="31"/>
    <x v="3"/>
    <s v="777689175"/>
  </r>
  <r>
    <s v="190002509"/>
    <s v="Chandana Auto Engineering"/>
    <x v="1"/>
    <x v="1"/>
    <s v="4227302662"/>
    <d v="2024-10-28T00:00:00"/>
    <n v="10"/>
    <x v="1"/>
    <n v="31152"/>
    <n v="31152"/>
    <n v="22"/>
    <x v="3"/>
    <s v="777689175"/>
  </r>
  <r>
    <s v="190002509"/>
    <s v="Chandana Auto Engineering"/>
    <x v="1"/>
    <x v="1"/>
    <s v="4227302817"/>
    <d v="2024-10-29T00:00:00"/>
    <n v="10"/>
    <x v="1"/>
    <n v="17219"/>
    <n v="17219"/>
    <n v="21"/>
    <x v="3"/>
    <s v="777689175"/>
  </r>
  <r>
    <s v="190002509"/>
    <s v="Chandana Auto Engineering"/>
    <x v="1"/>
    <x v="1"/>
    <s v="4227304154"/>
    <d v="2024-10-31T00:00:00"/>
    <n v="10"/>
    <x v="1"/>
    <n v="24886"/>
    <n v="24886"/>
    <n v="19"/>
    <x v="3"/>
    <s v="777689175"/>
  </r>
  <r>
    <s v="190002512"/>
    <s v="Eksath Auto Accessories"/>
    <x v="1"/>
    <x v="1"/>
    <s v="4227272574"/>
    <d v="2024-02-28T00:00:00"/>
    <n v="2"/>
    <x v="1"/>
    <n v="74552"/>
    <n v="12478.5"/>
    <n v="265"/>
    <x v="327"/>
    <s v="112906503"/>
  </r>
  <r>
    <s v="190002512"/>
    <s v="Eksath Auto Accessories"/>
    <x v="1"/>
    <x v="1"/>
    <s v="4227292826"/>
    <d v="2024-08-21T00:00:00"/>
    <n v="8"/>
    <x v="1"/>
    <n v="7434"/>
    <n v="7434"/>
    <n v="90"/>
    <x v="328"/>
    <s v="112906503"/>
  </r>
  <r>
    <s v="190002513"/>
    <s v="Goodwill Auto Mart"/>
    <x v="1"/>
    <x v="1"/>
    <s v="4227282163"/>
    <d v="2024-05-30T00:00:00"/>
    <n v="5"/>
    <x v="1"/>
    <n v="90318"/>
    <n v="34385"/>
    <n v="173"/>
    <x v="329"/>
    <s v="0716692025"/>
  </r>
  <r>
    <s v="190002513"/>
    <s v="Goodwill Auto Mart"/>
    <x v="1"/>
    <x v="1"/>
    <s v="4227288145"/>
    <d v="2024-07-19T00:00:00"/>
    <n v="7"/>
    <x v="1"/>
    <n v="56640"/>
    <n v="56640"/>
    <n v="123"/>
    <x v="330"/>
    <s v="0716692025"/>
  </r>
  <r>
    <s v="190002513"/>
    <s v="Goodwill Auto Mart"/>
    <x v="1"/>
    <x v="1"/>
    <s v="4227302907"/>
    <d v="2024-10-29T00:00:00"/>
    <n v="10"/>
    <x v="1"/>
    <n v="44604"/>
    <n v="44604"/>
    <n v="21"/>
    <x v="3"/>
    <s v="0716692025"/>
  </r>
  <r>
    <s v="190002513"/>
    <s v="Goodwill Auto Mart"/>
    <x v="1"/>
    <x v="1"/>
    <s v="4227302908"/>
    <d v="2024-10-29T00:00:00"/>
    <n v="10"/>
    <x v="1"/>
    <n v="74765"/>
    <n v="74765"/>
    <n v="21"/>
    <x v="3"/>
    <s v="0716692025"/>
  </r>
  <r>
    <s v="190002513"/>
    <s v="Goodwill Auto Mart"/>
    <x v="1"/>
    <x v="1"/>
    <s v="4227303093"/>
    <d v="2024-10-30T00:00:00"/>
    <n v="10"/>
    <x v="1"/>
    <n v="75520"/>
    <n v="75520"/>
    <n v="20"/>
    <x v="3"/>
    <s v="0716692025"/>
  </r>
  <r>
    <s v="190002517"/>
    <s v="Nemro Auto House"/>
    <x v="1"/>
    <x v="1"/>
    <s v="4227268091"/>
    <d v="2024-01-18T00:00:00"/>
    <n v="1"/>
    <x v="1"/>
    <n v="3894"/>
    <n v="117"/>
    <n v="306"/>
    <x v="331"/>
    <s v="112909270"/>
  </r>
  <r>
    <s v="190002518"/>
    <s v="New Korean Service Station"/>
    <x v="1"/>
    <x v="1"/>
    <s v="218384"/>
    <d v="2024-05-21T00:00:00"/>
    <n v="5"/>
    <x v="1"/>
    <n v="-20000"/>
    <n v="-20000"/>
    <n v="182"/>
    <x v="332"/>
    <s v="714816835"/>
  </r>
  <r>
    <s v="190002518"/>
    <s v="New Korean Service Station"/>
    <x v="1"/>
    <x v="1"/>
    <s v="4227256341"/>
    <d v="2023-09-30T00:00:00"/>
    <n v="9"/>
    <x v="0"/>
    <n v="6734"/>
    <n v="173"/>
    <n v="416"/>
    <x v="333"/>
    <s v="714816835"/>
  </r>
  <r>
    <s v="190002518"/>
    <s v="New Korean Service Station"/>
    <x v="1"/>
    <x v="1"/>
    <s v="4227285994"/>
    <d v="2024-06-30T00:00:00"/>
    <n v="6"/>
    <x v="1"/>
    <n v="32285"/>
    <n v="32285"/>
    <n v="142"/>
    <x v="334"/>
    <s v="714816835"/>
  </r>
  <r>
    <s v="190002518"/>
    <s v="New Korean Service Station"/>
    <x v="1"/>
    <x v="1"/>
    <s v="4227299424"/>
    <d v="2024-10-04T00:00:00"/>
    <n v="10"/>
    <x v="1"/>
    <n v="69582"/>
    <n v="69582"/>
    <n v="46"/>
    <x v="3"/>
    <s v="714816835"/>
  </r>
  <r>
    <s v="190002519"/>
    <s v="New Metco Service Station"/>
    <x v="1"/>
    <x v="1"/>
    <s v="4227106984"/>
    <d v="2019-06-27T00:00:00"/>
    <n v="6"/>
    <x v="5"/>
    <n v="12041"/>
    <n v="6041"/>
    <n v="1972"/>
    <x v="335"/>
    <s v="773717712"/>
  </r>
  <r>
    <s v="190002519"/>
    <s v="New Metco Service Station"/>
    <x v="1"/>
    <x v="1"/>
    <s v="4227304026"/>
    <d v="2024-10-31T00:00:00"/>
    <n v="10"/>
    <x v="1"/>
    <n v="29146"/>
    <n v="29146"/>
    <n v="19"/>
    <x v="3"/>
    <s v="773717712"/>
  </r>
  <r>
    <s v="190002525"/>
    <s v="S. George Motors"/>
    <x v="1"/>
    <x v="1"/>
    <s v="4227292949"/>
    <d v="2024-08-22T00:00:00"/>
    <n v="8"/>
    <x v="1"/>
    <n v="15647"/>
    <n v="15647"/>
    <n v="89"/>
    <x v="3"/>
    <s v="716820007"/>
  </r>
  <r>
    <s v="190002527"/>
    <s v="Stepen's ( Pvt ) Ltd"/>
    <x v="1"/>
    <x v="1"/>
    <s v="4227292827"/>
    <d v="2024-08-21T00:00:00"/>
    <n v="8"/>
    <x v="1"/>
    <n v="15576"/>
    <n v="15576"/>
    <n v="90"/>
    <x v="336"/>
    <s v="714203577"/>
  </r>
  <r>
    <s v="190002545"/>
    <s v="Rocket Performance"/>
    <x v="1"/>
    <x v="1"/>
    <s v="4227109742"/>
    <d v="2019-07-23T00:00:00"/>
    <n v="7"/>
    <x v="5"/>
    <n v="2588"/>
    <n v="2271"/>
    <n v="1946"/>
    <x v="337"/>
    <s v="0776163450"/>
  </r>
  <r>
    <s v="190002545"/>
    <s v="Rocket Performance"/>
    <x v="1"/>
    <x v="1"/>
    <s v="4227292828"/>
    <d v="2024-08-21T00:00:00"/>
    <n v="8"/>
    <x v="1"/>
    <n v="3998"/>
    <n v="3998"/>
    <n v="90"/>
    <x v="338"/>
    <s v="0776163450"/>
  </r>
  <r>
    <s v="190002545"/>
    <s v="Rocket Performance"/>
    <x v="1"/>
    <x v="1"/>
    <s v="4227293129"/>
    <d v="2024-08-23T00:00:00"/>
    <n v="8"/>
    <x v="1"/>
    <n v="6667"/>
    <n v="6667"/>
    <n v="88"/>
    <x v="3"/>
    <s v="0776163450"/>
  </r>
  <r>
    <s v="190002545"/>
    <s v="Rocket Performance"/>
    <x v="1"/>
    <x v="1"/>
    <s v="4227293509"/>
    <d v="2024-08-26T00:00:00"/>
    <n v="8"/>
    <x v="1"/>
    <n v="14013"/>
    <n v="14013"/>
    <n v="85"/>
    <x v="3"/>
    <s v="0776163450"/>
  </r>
  <r>
    <s v="190002545"/>
    <s v="Rocket Performance"/>
    <x v="1"/>
    <x v="1"/>
    <s v="4227300511"/>
    <d v="2024-10-14T00:00:00"/>
    <n v="10"/>
    <x v="1"/>
    <n v="16680"/>
    <n v="0"/>
    <n v="36"/>
    <x v="3"/>
    <s v="0776163450"/>
  </r>
  <r>
    <s v="190002586"/>
    <s v="Gammanpila Motors"/>
    <x v="1"/>
    <x v="1"/>
    <s v="4227193146"/>
    <d v="2021-11-22T00:00:00"/>
    <n v="11"/>
    <x v="4"/>
    <n v="86400"/>
    <n v="38822"/>
    <n v="1093"/>
    <x v="339"/>
    <s v="716522178"/>
  </r>
  <r>
    <s v="190002586"/>
    <s v="Gammanpila Motors"/>
    <x v="1"/>
    <x v="1"/>
    <s v="4227294849"/>
    <d v="2024-08-31T00:00:00"/>
    <n v="8"/>
    <x v="1"/>
    <n v="62304"/>
    <n v="62304"/>
    <n v="80"/>
    <x v="3"/>
    <s v="716522178"/>
  </r>
  <r>
    <s v="190002586"/>
    <s v="Gammanpila Motors"/>
    <x v="1"/>
    <x v="1"/>
    <s v="4227294966"/>
    <d v="2024-08-31T00:00:00"/>
    <n v="8"/>
    <x v="1"/>
    <n v="289034"/>
    <n v="289034"/>
    <n v="80"/>
    <x v="3"/>
    <s v="716522178"/>
  </r>
  <r>
    <s v="190002586"/>
    <s v="Gammanpila Motors"/>
    <x v="1"/>
    <x v="1"/>
    <s v="4227298986"/>
    <d v="2024-09-30T00:00:00"/>
    <n v="9"/>
    <x v="1"/>
    <n v="24886"/>
    <n v="24886"/>
    <n v="50"/>
    <x v="3"/>
    <s v="716522178"/>
  </r>
  <r>
    <s v="190002586"/>
    <s v="Gammanpila Motors"/>
    <x v="1"/>
    <x v="1"/>
    <s v="4227302550"/>
    <d v="2024-10-28T00:00:00"/>
    <n v="10"/>
    <x v="1"/>
    <n v="200116"/>
    <n v="200116"/>
    <n v="22"/>
    <x v="3"/>
    <s v="716522178"/>
  </r>
  <r>
    <s v="190002593"/>
    <s v="Mihiri Paint &amp; Electrical"/>
    <x v="1"/>
    <x v="1"/>
    <s v="236183"/>
    <d v="2024-10-24T00:00:00"/>
    <n v="10"/>
    <x v="1"/>
    <n v="-5000"/>
    <n v="-5000"/>
    <n v="26"/>
    <x v="3"/>
    <s v="777731075"/>
  </r>
  <r>
    <s v="190002593"/>
    <s v="Mihiri Paint &amp; Electrical"/>
    <x v="1"/>
    <x v="1"/>
    <s v="4227283157"/>
    <d v="2024-06-07T00:00:00"/>
    <n v="6"/>
    <x v="1"/>
    <n v="28975"/>
    <n v="10663"/>
    <n v="165"/>
    <x v="340"/>
    <s v="777731075"/>
  </r>
  <r>
    <s v="190002593"/>
    <s v="Mihiri Paint &amp; Electrical"/>
    <x v="1"/>
    <x v="1"/>
    <s v="4227286625"/>
    <d v="2024-07-08T00:00:00"/>
    <n v="7"/>
    <x v="1"/>
    <n v="14337"/>
    <n v="14337"/>
    <n v="134"/>
    <x v="341"/>
    <s v="777731075"/>
  </r>
  <r>
    <s v="190002593"/>
    <s v="Mihiri Paint &amp; Electrical"/>
    <x v="1"/>
    <x v="1"/>
    <s v="4227299028"/>
    <d v="2024-09-30T00:00:00"/>
    <n v="9"/>
    <x v="1"/>
    <n v="4956"/>
    <n v="4956"/>
    <n v="50"/>
    <x v="3"/>
    <s v="777731075"/>
  </r>
  <r>
    <s v="190002593"/>
    <s v="Mihiri Paint &amp; Electrical"/>
    <x v="1"/>
    <x v="1"/>
    <s v="4227299029"/>
    <d v="2024-09-30T00:00:00"/>
    <n v="9"/>
    <x v="1"/>
    <n v="11994"/>
    <n v="11994"/>
    <n v="50"/>
    <x v="3"/>
    <s v="777731075"/>
  </r>
  <r>
    <s v="190003051"/>
    <s v="Mahinda Motors"/>
    <x v="1"/>
    <x v="1"/>
    <s v="4227139846"/>
    <d v="2020-06-12T00:00:00"/>
    <n v="6"/>
    <x v="3"/>
    <n v="25650"/>
    <n v="19004"/>
    <n v="1621"/>
    <x v="342"/>
    <s v="0772278341"/>
  </r>
  <r>
    <s v="190003051"/>
    <s v="Mahinda Motors"/>
    <x v="1"/>
    <x v="1"/>
    <s v="4227294006"/>
    <d v="2024-08-28T00:00:00"/>
    <n v="8"/>
    <x v="1"/>
    <n v="12980"/>
    <n v="0"/>
    <n v="83"/>
    <x v="3"/>
    <s v="0772278341"/>
  </r>
  <r>
    <s v="190003051"/>
    <s v="Mahinda Motors"/>
    <x v="1"/>
    <x v="1"/>
    <s v="4227296388"/>
    <d v="2024-09-13T00:00:00"/>
    <n v="9"/>
    <x v="1"/>
    <n v="7434"/>
    <n v="7434"/>
    <n v="67"/>
    <x v="3"/>
    <s v="0772278341"/>
  </r>
  <r>
    <s v="190003057"/>
    <s v="Mahesh Motors (Pvt) Ltd"/>
    <x v="1"/>
    <x v="1"/>
    <s v="4227240912"/>
    <d v="2023-05-11T00:00:00"/>
    <n v="5"/>
    <x v="0"/>
    <n v="9902"/>
    <n v="1255"/>
    <n v="558"/>
    <x v="343"/>
    <s v="112964433"/>
  </r>
  <r>
    <s v="190003057"/>
    <s v="Mahesh Motors (Pvt) Ltd"/>
    <x v="1"/>
    <x v="1"/>
    <s v="4227293011"/>
    <d v="2024-08-22T00:00:00"/>
    <n v="8"/>
    <x v="1"/>
    <n v="21523"/>
    <n v="21523"/>
    <n v="89"/>
    <x v="3"/>
    <s v="112964433"/>
  </r>
  <r>
    <s v="190003057"/>
    <s v="Mahesh Motors (Pvt) Ltd"/>
    <x v="1"/>
    <x v="1"/>
    <s v="4227293012"/>
    <d v="2024-08-22T00:00:00"/>
    <n v="8"/>
    <x v="1"/>
    <n v="15576"/>
    <n v="15576"/>
    <n v="89"/>
    <x v="3"/>
    <s v="112964433"/>
  </r>
  <r>
    <s v="190003057"/>
    <s v="Mahesh Motors (Pvt) Ltd"/>
    <x v="1"/>
    <x v="1"/>
    <s v="4227298200"/>
    <d v="2024-09-28T00:00:00"/>
    <n v="9"/>
    <x v="1"/>
    <n v="15576"/>
    <n v="15576"/>
    <n v="52"/>
    <x v="3"/>
    <s v="112964433"/>
  </r>
  <r>
    <s v="190003057"/>
    <s v="Mahesh Motors (Pvt) Ltd"/>
    <x v="1"/>
    <x v="1"/>
    <s v="4227299283"/>
    <d v="2024-10-03T00:00:00"/>
    <n v="10"/>
    <x v="1"/>
    <n v="51136"/>
    <n v="51136"/>
    <n v="47"/>
    <x v="3"/>
    <s v="112964433"/>
  </r>
  <r>
    <s v="190003057"/>
    <s v="Mahesh Motors (Pvt) Ltd"/>
    <x v="1"/>
    <x v="1"/>
    <s v="4227302910"/>
    <d v="2024-10-29T00:00:00"/>
    <n v="10"/>
    <x v="1"/>
    <n v="31152"/>
    <n v="31152"/>
    <n v="21"/>
    <x v="3"/>
    <s v="112964433"/>
  </r>
  <r>
    <s v="190003060"/>
    <s v="Rasika Motor Engineers"/>
    <x v="1"/>
    <x v="1"/>
    <s v="4227160232"/>
    <d v="2020-12-21T00:00:00"/>
    <n v="12"/>
    <x v="3"/>
    <n v="38005"/>
    <n v="32915"/>
    <n v="1429"/>
    <x v="344"/>
    <s v="777742411"/>
  </r>
  <r>
    <s v="190003060"/>
    <s v="Rasika Motor Engineers"/>
    <x v="1"/>
    <x v="1"/>
    <s v="4227285744"/>
    <d v="2024-06-29T00:00:00"/>
    <n v="6"/>
    <x v="1"/>
    <n v="225380"/>
    <n v="0"/>
    <n v="143"/>
    <x v="345"/>
    <s v="777742411"/>
  </r>
  <r>
    <s v="190003060"/>
    <s v="Rasika Motor Engineers"/>
    <x v="1"/>
    <x v="1"/>
    <s v="4227285745"/>
    <d v="2024-06-29T00:00:00"/>
    <n v="6"/>
    <x v="1"/>
    <n v="171100"/>
    <n v="114100"/>
    <n v="143"/>
    <x v="346"/>
    <s v="777742411"/>
  </r>
  <r>
    <s v="190003060"/>
    <s v="Rasika Motor Engineers"/>
    <x v="1"/>
    <x v="1"/>
    <s v="4227287896"/>
    <d v="2024-07-18T00:00:00"/>
    <n v="7"/>
    <x v="1"/>
    <n v="64900"/>
    <n v="64900"/>
    <n v="124"/>
    <x v="347"/>
    <s v="777742411"/>
  </r>
  <r>
    <s v="190003060"/>
    <s v="Rasika Motor Engineers"/>
    <x v="1"/>
    <x v="1"/>
    <s v="4227289760"/>
    <d v="2024-07-30T00:00:00"/>
    <n v="7"/>
    <x v="1"/>
    <n v="113280"/>
    <n v="113280"/>
    <n v="112"/>
    <x v="348"/>
    <s v="777742411"/>
  </r>
  <r>
    <s v="190003064"/>
    <s v="Suriarachchi Motor House"/>
    <x v="1"/>
    <x v="1"/>
    <s v="4227128006"/>
    <d v="2019-12-30T00:00:00"/>
    <n v="12"/>
    <x v="5"/>
    <n v="7679"/>
    <n v="1728"/>
    <n v="1786"/>
    <x v="349"/>
    <s v="0715304505"/>
  </r>
  <r>
    <s v="190003064"/>
    <s v="Suriarachchi Motor House"/>
    <x v="1"/>
    <x v="1"/>
    <s v="4227128046"/>
    <d v="2019-12-30T00:00:00"/>
    <n v="12"/>
    <x v="5"/>
    <n v="17496"/>
    <n v="17496"/>
    <n v="1786"/>
    <x v="350"/>
    <s v="0715304505"/>
  </r>
  <r>
    <s v="190003064"/>
    <s v="Suriarachchi Motor House"/>
    <x v="1"/>
    <x v="1"/>
    <s v="4227262674"/>
    <d v="2023-11-24T00:00:00"/>
    <n v="11"/>
    <x v="0"/>
    <n v="31568"/>
    <n v="13193"/>
    <n v="361"/>
    <x v="351"/>
    <s v="0715304505"/>
  </r>
  <r>
    <s v="190003064"/>
    <s v="Suriarachchi Motor House"/>
    <x v="1"/>
    <x v="1"/>
    <s v="4227290636"/>
    <d v="2024-07-31T00:00:00"/>
    <n v="7"/>
    <x v="1"/>
    <n v="35400"/>
    <n v="35400"/>
    <n v="111"/>
    <x v="352"/>
    <s v="0715304505"/>
  </r>
  <r>
    <s v="190003064"/>
    <s v="Suriarachchi Motor House"/>
    <x v="1"/>
    <x v="1"/>
    <s v="4227290637"/>
    <d v="2024-07-31T00:00:00"/>
    <n v="7"/>
    <x v="1"/>
    <n v="7080"/>
    <n v="7080"/>
    <n v="111"/>
    <x v="33"/>
    <s v="0715304505"/>
  </r>
  <r>
    <s v="190003064"/>
    <s v="Suriarachchi Motor House"/>
    <x v="1"/>
    <x v="1"/>
    <s v="4227290638"/>
    <d v="2024-07-31T00:00:00"/>
    <n v="7"/>
    <x v="1"/>
    <n v="28320"/>
    <n v="28320"/>
    <n v="111"/>
    <x v="353"/>
    <s v="0715304505"/>
  </r>
  <r>
    <s v="190003064"/>
    <s v="Suriarachchi Motor House"/>
    <x v="1"/>
    <x v="1"/>
    <s v="4227290639"/>
    <d v="2024-07-31T00:00:00"/>
    <n v="7"/>
    <x v="1"/>
    <n v="25046"/>
    <n v="25046"/>
    <n v="111"/>
    <x v="354"/>
    <s v="0715304505"/>
  </r>
  <r>
    <s v="190003064"/>
    <s v="Suriarachchi Motor House"/>
    <x v="1"/>
    <x v="1"/>
    <s v="4227292904"/>
    <d v="2024-08-21T00:00:00"/>
    <n v="8"/>
    <x v="1"/>
    <n v="36581"/>
    <n v="36581"/>
    <n v="90"/>
    <x v="355"/>
    <s v="0715304505"/>
  </r>
  <r>
    <s v="190003064"/>
    <s v="Suriarachchi Motor House"/>
    <x v="1"/>
    <x v="1"/>
    <s v="4227294936"/>
    <d v="2024-08-31T00:00:00"/>
    <n v="8"/>
    <x v="1"/>
    <n v="10620"/>
    <n v="10620"/>
    <n v="80"/>
    <x v="3"/>
    <s v="0715304505"/>
  </r>
  <r>
    <s v="190003064"/>
    <s v="Suriarachchi Motor House"/>
    <x v="1"/>
    <x v="1"/>
    <s v="4227296919"/>
    <d v="2024-09-20T00:00:00"/>
    <n v="9"/>
    <x v="1"/>
    <n v="8378"/>
    <n v="8378"/>
    <n v="60"/>
    <x v="3"/>
    <s v="0715304505"/>
  </r>
  <r>
    <s v="190003064"/>
    <s v="Suriarachchi Motor House"/>
    <x v="1"/>
    <x v="1"/>
    <s v="4227296920"/>
    <d v="2024-09-20T00:00:00"/>
    <n v="9"/>
    <x v="1"/>
    <n v="11523"/>
    <n v="11523"/>
    <n v="60"/>
    <x v="3"/>
    <s v="0715304505"/>
  </r>
  <r>
    <s v="190004016"/>
    <s v="J. V. Vandabona Transporters"/>
    <x v="1"/>
    <x v="1"/>
    <s v="4227168870"/>
    <d v="2021-03-06T00:00:00"/>
    <n v="3"/>
    <x v="4"/>
    <n v="5832"/>
    <n v="5832"/>
    <n v="1354"/>
    <x v="250"/>
    <s v="112910177"/>
  </r>
  <r>
    <s v="190004016"/>
    <s v="J. V. Vandabona Transporters"/>
    <x v="1"/>
    <x v="1"/>
    <s v="4227290643"/>
    <d v="2024-07-31T00:00:00"/>
    <n v="7"/>
    <x v="1"/>
    <n v="38855"/>
    <n v="0"/>
    <n v="111"/>
    <x v="345"/>
    <s v="112910177"/>
  </r>
  <r>
    <s v="190004016"/>
    <s v="J. V. Vandabona Transporters"/>
    <x v="1"/>
    <x v="1"/>
    <s v="4227292835"/>
    <d v="2024-08-21T00:00:00"/>
    <n v="8"/>
    <x v="1"/>
    <n v="24086"/>
    <n v="24086"/>
    <n v="90"/>
    <x v="356"/>
    <s v="112910177"/>
  </r>
  <r>
    <s v="190004016"/>
    <s v="J. V. Vandabona Transporters"/>
    <x v="1"/>
    <x v="1"/>
    <s v="4227294096"/>
    <d v="2024-08-29T00:00:00"/>
    <n v="8"/>
    <x v="1"/>
    <n v="24851"/>
    <n v="24851"/>
    <n v="82"/>
    <x v="3"/>
    <s v="112910177"/>
  </r>
  <r>
    <s v="190004016"/>
    <s v="J. V. Vandabona Transporters"/>
    <x v="1"/>
    <x v="1"/>
    <s v="4227304060"/>
    <d v="2024-10-31T00:00:00"/>
    <n v="10"/>
    <x v="1"/>
    <n v="23482"/>
    <n v="23482"/>
    <n v="19"/>
    <x v="3"/>
    <s v="112910177"/>
  </r>
  <r>
    <s v="190004337"/>
    <s v="Casons Rent"/>
    <x v="1"/>
    <x v="1"/>
    <s v="4227280733"/>
    <d v="2024-05-14T00:00:00"/>
    <n v="5"/>
    <x v="1"/>
    <n v="106588"/>
    <n v="16536.98"/>
    <n v="189"/>
    <x v="357"/>
    <s v="114405070"/>
  </r>
  <r>
    <s v="190004711"/>
    <s v="Castech Lanka"/>
    <x v="1"/>
    <x v="1"/>
    <s v=""/>
    <d v="2021-08-23T00:00:00"/>
    <n v="8"/>
    <x v="4"/>
    <n v="-143982.9"/>
    <n v="-22452.9"/>
    <n v="1184"/>
    <x v="358"/>
    <s v="115575333"/>
  </r>
  <r>
    <s v="190004711"/>
    <s v="Castech Lanka"/>
    <x v="1"/>
    <x v="1"/>
    <s v="4227289147"/>
    <d v="2024-07-25T00:00:00"/>
    <n v="7"/>
    <x v="1"/>
    <n v="14538"/>
    <n v="14538"/>
    <n v="117"/>
    <x v="359"/>
    <s v="115575333"/>
  </r>
  <r>
    <s v="190005694"/>
    <s v="Minsara Motors"/>
    <x v="1"/>
    <x v="1"/>
    <s v="230145"/>
    <d v="2024-08-27T00:00:00"/>
    <n v="8"/>
    <x v="1"/>
    <n v="-5000"/>
    <n v="-5000"/>
    <n v="84"/>
    <x v="3"/>
    <s v="0112 919282"/>
  </r>
  <r>
    <s v="190005694"/>
    <s v="Minsara Motors"/>
    <x v="1"/>
    <x v="1"/>
    <s v="4227260066"/>
    <d v="2023-11-01T00:00:00"/>
    <n v="11"/>
    <x v="0"/>
    <n v="26827"/>
    <n v="3627"/>
    <n v="384"/>
    <x v="360"/>
    <s v="0112 919282"/>
  </r>
  <r>
    <s v="190005694"/>
    <s v="Minsara Motors"/>
    <x v="1"/>
    <x v="1"/>
    <s v="4227268525"/>
    <d v="2024-01-23T00:00:00"/>
    <n v="1"/>
    <x v="1"/>
    <n v="1357"/>
    <n v="1357"/>
    <n v="301"/>
    <x v="361"/>
    <s v="0112 919282"/>
  </r>
  <r>
    <s v="190006018"/>
    <s v="Kumara Motor Engineers And Spare Pa"/>
    <x v="1"/>
    <x v="1"/>
    <s v="4227209260"/>
    <d v="2022-04-07T00:00:00"/>
    <n v="4"/>
    <x v="6"/>
    <n v="23643"/>
    <n v="600"/>
    <n v="957"/>
    <x v="362"/>
    <s v="0714872824"/>
  </r>
  <r>
    <s v="190006018"/>
    <s v="Kumara Motor Engineers And Spare Pa"/>
    <x v="1"/>
    <x v="1"/>
    <s v="4227295683"/>
    <d v="2024-09-06T00:00:00"/>
    <n v="9"/>
    <x v="1"/>
    <n v="52378"/>
    <n v="52378"/>
    <n v="74"/>
    <x v="3"/>
    <s v="0714872824"/>
  </r>
  <r>
    <s v="190006018"/>
    <s v="Kumara Motor Engineers And Spare Pa"/>
    <x v="1"/>
    <x v="1"/>
    <s v="4227296853"/>
    <d v="2024-09-20T00:00:00"/>
    <n v="9"/>
    <x v="1"/>
    <n v="177000"/>
    <n v="177000"/>
    <n v="60"/>
    <x v="3"/>
    <s v="0714872824"/>
  </r>
  <r>
    <s v="190006018"/>
    <s v="Kumara Motor Engineers And Spare Pa"/>
    <x v="1"/>
    <x v="1"/>
    <s v="4227297743"/>
    <d v="2024-09-26T00:00:00"/>
    <n v="9"/>
    <x v="1"/>
    <n v="46261"/>
    <n v="46261"/>
    <n v="54"/>
    <x v="3"/>
    <s v="0714872824"/>
  </r>
  <r>
    <s v="190006354"/>
    <s v="W. A. Auto Supply (Pvt) Ltd"/>
    <x v="1"/>
    <x v="1"/>
    <s v="4227209811"/>
    <d v="2022-04-22T00:00:00"/>
    <n v="4"/>
    <x v="6"/>
    <n v="5184"/>
    <n v="903"/>
    <n v="942"/>
    <x v="363"/>
    <s v="0772210318"/>
  </r>
  <r>
    <s v="190006354"/>
    <s v="W. A. Auto Supply (Pvt) Ltd"/>
    <x v="1"/>
    <x v="1"/>
    <s v="4227295114"/>
    <d v="2024-08-31T00:00:00"/>
    <n v="8"/>
    <x v="1"/>
    <n v="7434"/>
    <n v="7434"/>
    <n v="80"/>
    <x v="3"/>
    <s v="0772210318"/>
  </r>
  <r>
    <s v="190006709"/>
    <s v="Nalaka Motors"/>
    <x v="1"/>
    <x v="1"/>
    <s v="4227165861"/>
    <d v="2021-02-11T00:00:00"/>
    <n v="2"/>
    <x v="4"/>
    <n v="2822"/>
    <n v="2822"/>
    <n v="1377"/>
    <x v="364"/>
    <s v="0113111303"/>
  </r>
  <r>
    <s v="190006709"/>
    <s v="Nalaka Motors"/>
    <x v="1"/>
    <x v="1"/>
    <s v="4227291011"/>
    <d v="2024-08-05T00:00:00"/>
    <n v="8"/>
    <x v="1"/>
    <n v="109598"/>
    <n v="27161"/>
    <n v="106"/>
    <x v="365"/>
    <s v="0113111303"/>
  </r>
  <r>
    <s v="190006709"/>
    <s v="Nalaka Motors"/>
    <x v="1"/>
    <x v="1"/>
    <s v="4227291235"/>
    <d v="2024-08-07T00:00:00"/>
    <n v="8"/>
    <x v="1"/>
    <n v="51047"/>
    <n v="51047"/>
    <n v="104"/>
    <x v="366"/>
    <s v="0113111303"/>
  </r>
  <r>
    <s v="190006709"/>
    <s v="Nalaka Motors"/>
    <x v="1"/>
    <x v="1"/>
    <s v="4227298197"/>
    <d v="2024-09-28T00:00:00"/>
    <n v="9"/>
    <x v="1"/>
    <n v="9912"/>
    <n v="9912"/>
    <n v="52"/>
    <x v="3"/>
    <s v="0113111303"/>
  </r>
  <r>
    <s v="190006709"/>
    <s v="Nalaka Motors"/>
    <x v="1"/>
    <x v="1"/>
    <s v="4227303121"/>
    <d v="2024-10-30T00:00:00"/>
    <n v="10"/>
    <x v="1"/>
    <n v="22656"/>
    <n v="22656"/>
    <n v="20"/>
    <x v="3"/>
    <s v="0113111303"/>
  </r>
  <r>
    <s v="190006709"/>
    <s v="Nalaka Motors"/>
    <x v="1"/>
    <x v="1"/>
    <s v="4227303315"/>
    <d v="2024-10-30T00:00:00"/>
    <n v="10"/>
    <x v="1"/>
    <n v="109598"/>
    <n v="109598"/>
    <n v="20"/>
    <x v="3"/>
    <s v="0113111303"/>
  </r>
  <r>
    <s v="190006709"/>
    <s v="Nalaka Motors"/>
    <x v="1"/>
    <x v="1"/>
    <s v="4227303316"/>
    <d v="2024-10-30T00:00:00"/>
    <n v="10"/>
    <x v="1"/>
    <n v="18266"/>
    <n v="18266"/>
    <n v="20"/>
    <x v="3"/>
    <s v="0113111303"/>
  </r>
  <r>
    <s v="190006709"/>
    <s v="Nalaka Motors"/>
    <x v="1"/>
    <x v="1"/>
    <s v="4227305826"/>
    <d v="2024-11-14T00:00:00"/>
    <n v="11"/>
    <x v="1"/>
    <n v="61696"/>
    <n v="61696"/>
    <n v="5"/>
    <x v="3"/>
    <s v="0113111303"/>
  </r>
  <r>
    <s v="190006709"/>
    <s v="Nalaka Motors"/>
    <x v="1"/>
    <x v="1"/>
    <s v="5227015965"/>
    <d v="2024-11-18T00:00:00"/>
    <n v="11"/>
    <x v="1"/>
    <n v="-27164"/>
    <n v="-27164"/>
    <n v="1"/>
    <x v="3"/>
    <s v="0113111303"/>
  </r>
  <r>
    <s v="190006901"/>
    <s v="Hushma Service Centre"/>
    <x v="1"/>
    <x v="1"/>
    <s v="4227293544"/>
    <d v="2024-08-26T00:00:00"/>
    <n v="8"/>
    <x v="1"/>
    <n v="44982"/>
    <n v="44982"/>
    <n v="85"/>
    <x v="3"/>
    <s v="071 8412165"/>
  </r>
  <r>
    <s v="190006997"/>
    <s v="Rolanta Auto Zone"/>
    <x v="1"/>
    <x v="1"/>
    <s v="4227298713"/>
    <d v="2024-09-30T00:00:00"/>
    <n v="9"/>
    <x v="1"/>
    <n v="49772"/>
    <n v="0"/>
    <n v="50"/>
    <x v="3"/>
    <s v="112400270"/>
  </r>
  <r>
    <s v="190007154"/>
    <s v="Randiya Motors"/>
    <x v="1"/>
    <x v="1"/>
    <s v="4227293546"/>
    <d v="2024-08-26T00:00:00"/>
    <n v="8"/>
    <x v="1"/>
    <n v="18196"/>
    <n v="18196"/>
    <n v="85"/>
    <x v="3"/>
    <s v="0776406851"/>
  </r>
  <r>
    <s v="190007154"/>
    <s v="Randiya Motors"/>
    <x v="1"/>
    <x v="1"/>
    <s v="4227293547"/>
    <d v="2024-08-26T00:00:00"/>
    <n v="8"/>
    <x v="1"/>
    <n v="37680"/>
    <n v="37680"/>
    <n v="85"/>
    <x v="3"/>
    <s v="0776406851"/>
  </r>
  <r>
    <s v="190007154"/>
    <s v="Randiya Motors"/>
    <x v="1"/>
    <x v="1"/>
    <s v="4227293645"/>
    <d v="2024-08-27T00:00:00"/>
    <n v="8"/>
    <x v="1"/>
    <n v="26488"/>
    <n v="26488"/>
    <n v="84"/>
    <x v="3"/>
    <s v="0776406851"/>
  </r>
  <r>
    <s v="190007290"/>
    <s v="I. M. S. Trading (Pvt) Ltd"/>
    <x v="1"/>
    <x v="1"/>
    <s v="187879\864140"/>
    <d v="2022-10-13T00:00:00"/>
    <n v="10"/>
    <x v="6"/>
    <n v="-470.7"/>
    <n v="-470.7"/>
    <n v="768"/>
    <x v="367"/>
    <s v="332260635"/>
  </r>
  <r>
    <s v="190007290"/>
    <s v="I. M. S. Trading (Pvt) Ltd"/>
    <x v="1"/>
    <x v="1"/>
    <s v="4227237994"/>
    <d v="2023-03-31T00:00:00"/>
    <n v="3"/>
    <x v="0"/>
    <n v="77955"/>
    <n v="10062.5"/>
    <n v="599"/>
    <x v="368"/>
    <s v="332260635"/>
  </r>
  <r>
    <s v="190007290"/>
    <s v="I. M. S. Trading (Pvt) Ltd"/>
    <x v="1"/>
    <x v="1"/>
    <s v="4227273145"/>
    <d v="2024-02-29T00:00:00"/>
    <n v="2"/>
    <x v="1"/>
    <n v="214767"/>
    <n v="4094.52"/>
    <n v="264"/>
    <x v="369"/>
    <s v="332260635"/>
  </r>
  <r>
    <s v="190007290"/>
    <s v="I. M. S. Trading (Pvt) Ltd"/>
    <x v="1"/>
    <x v="1"/>
    <s v="4227287390"/>
    <d v="2024-07-15T00:00:00"/>
    <n v="7"/>
    <x v="1"/>
    <n v="41094"/>
    <n v="0.5"/>
    <n v="127"/>
    <x v="370"/>
    <s v="332260635"/>
  </r>
  <r>
    <s v="190007290"/>
    <s v="I. M. S. Trading (Pvt) Ltd"/>
    <x v="1"/>
    <x v="1"/>
    <s v="4227287435"/>
    <d v="2024-07-15T00:00:00"/>
    <n v="7"/>
    <x v="1"/>
    <n v="37760"/>
    <n v="37760"/>
    <n v="127"/>
    <x v="371"/>
    <s v="332260635"/>
  </r>
  <r>
    <s v="190007290"/>
    <s v="I. M. S. Trading (Pvt) Ltd"/>
    <x v="1"/>
    <x v="1"/>
    <s v="4227292842"/>
    <d v="2024-08-21T00:00:00"/>
    <n v="8"/>
    <x v="1"/>
    <n v="7434"/>
    <n v="7434"/>
    <n v="90"/>
    <x v="328"/>
    <s v="332260635"/>
  </r>
  <r>
    <s v="190007290"/>
    <s v="I. M. S. Trading (Pvt) Ltd"/>
    <x v="1"/>
    <x v="1"/>
    <s v="4227296930"/>
    <d v="2024-09-20T00:00:00"/>
    <n v="9"/>
    <x v="1"/>
    <n v="58295"/>
    <n v="58295"/>
    <n v="60"/>
    <x v="3"/>
    <s v="332260635"/>
  </r>
  <r>
    <s v="190007290"/>
    <s v="I. M. S. Trading (Pvt) Ltd"/>
    <x v="1"/>
    <x v="1"/>
    <s v="4227297702"/>
    <d v="2024-09-26T00:00:00"/>
    <n v="9"/>
    <x v="1"/>
    <n v="13594"/>
    <n v="13594"/>
    <n v="54"/>
    <x v="3"/>
    <s v="332260635"/>
  </r>
  <r>
    <s v="190007903"/>
    <s v="Car Avenue (Pvt) Ltd"/>
    <x v="1"/>
    <x v="1"/>
    <s v="4227214337"/>
    <d v="2022-06-23T00:00:00"/>
    <n v="6"/>
    <x v="6"/>
    <n v="34048"/>
    <n v="1884"/>
    <n v="880"/>
    <x v="372"/>
    <s v="112966660"/>
  </r>
  <r>
    <s v="190007903"/>
    <s v="Car Avenue (Pvt) Ltd"/>
    <x v="1"/>
    <x v="1"/>
    <s v="4227296592"/>
    <d v="2024-09-18T00:00:00"/>
    <n v="9"/>
    <x v="1"/>
    <n v="7434"/>
    <n v="7434"/>
    <n v="62"/>
    <x v="3"/>
    <s v="112966660"/>
  </r>
  <r>
    <s v="190008169"/>
    <s v="Grease Monkey Automobile (Pvt) Ltd."/>
    <x v="1"/>
    <x v="1"/>
    <s v="RTN CHQ - 975653"/>
    <d v="2022-01-06T00:00:00"/>
    <n v="1"/>
    <x v="6"/>
    <n v="8208"/>
    <n v="8208"/>
    <n v="1048"/>
    <x v="373"/>
    <s v="0112240616"/>
  </r>
  <r>
    <s v="190008169"/>
    <s v="Grease Monkey Automobile (Pvt) Ltd."/>
    <x v="1"/>
    <x v="1"/>
    <s v="4227188195"/>
    <d v="2021-10-11T00:00:00"/>
    <n v="10"/>
    <x v="4"/>
    <n v="284796"/>
    <n v="17202"/>
    <n v="1135"/>
    <x v="374"/>
    <s v="0112240616"/>
  </r>
  <r>
    <s v="190008169"/>
    <s v="Grease Monkey Automobile (Pvt) Ltd."/>
    <x v="1"/>
    <x v="1"/>
    <s v="4227191451"/>
    <d v="2021-11-05T00:00:00"/>
    <n v="11"/>
    <x v="4"/>
    <n v="1004"/>
    <n v="1004"/>
    <n v="1110"/>
    <x v="375"/>
    <s v="0112240616"/>
  </r>
  <r>
    <s v="190008169"/>
    <s v="Grease Monkey Automobile (Pvt) Ltd."/>
    <x v="1"/>
    <x v="1"/>
    <s v="4227191453"/>
    <d v="2021-11-05T00:00:00"/>
    <n v="11"/>
    <x v="4"/>
    <n v="2389"/>
    <n v="222"/>
    <n v="1110"/>
    <x v="376"/>
    <s v="0112240616"/>
  </r>
  <r>
    <s v="190008169"/>
    <s v="Grease Monkey Automobile (Pvt) Ltd."/>
    <x v="1"/>
    <x v="1"/>
    <s v="4227191921"/>
    <d v="2021-11-10T00:00:00"/>
    <n v="11"/>
    <x v="4"/>
    <n v="1004"/>
    <n v="1004"/>
    <n v="1105"/>
    <x v="375"/>
    <s v="0112240616"/>
  </r>
  <r>
    <s v="190008169"/>
    <s v="Grease Monkey Automobile (Pvt) Ltd."/>
    <x v="1"/>
    <x v="1"/>
    <s v="4227191922"/>
    <d v="2021-11-10T00:00:00"/>
    <n v="11"/>
    <x v="4"/>
    <n v="4104"/>
    <n v="4104"/>
    <n v="1105"/>
    <x v="377"/>
    <s v="0112240616"/>
  </r>
  <r>
    <s v="190008169"/>
    <s v="Grease Monkey Automobile (Pvt) Ltd."/>
    <x v="1"/>
    <x v="1"/>
    <s v="4227192085"/>
    <d v="2021-11-11T00:00:00"/>
    <n v="11"/>
    <x v="4"/>
    <n v="2122"/>
    <n v="208.58"/>
    <n v="1104"/>
    <x v="378"/>
    <s v="0112240616"/>
  </r>
  <r>
    <s v="190008169"/>
    <s v="Grease Monkey Automobile (Pvt) Ltd."/>
    <x v="1"/>
    <x v="1"/>
    <s v="4227192455"/>
    <d v="2021-11-15T00:00:00"/>
    <n v="11"/>
    <x v="4"/>
    <n v="1976"/>
    <n v="1976"/>
    <n v="1100"/>
    <x v="379"/>
    <s v="0112240616"/>
  </r>
  <r>
    <s v="190008169"/>
    <s v="Grease Monkey Automobile (Pvt) Ltd."/>
    <x v="1"/>
    <x v="1"/>
    <s v="4227192456"/>
    <d v="2021-11-15T00:00:00"/>
    <n v="11"/>
    <x v="4"/>
    <n v="13176"/>
    <n v="13176"/>
    <n v="1100"/>
    <x v="380"/>
    <s v="0112240616"/>
  </r>
  <r>
    <s v="190008169"/>
    <s v="Grease Monkey Automobile (Pvt) Ltd."/>
    <x v="1"/>
    <x v="1"/>
    <s v="4227192658"/>
    <d v="2021-11-16T00:00:00"/>
    <n v="11"/>
    <x v="4"/>
    <n v="3456"/>
    <n v="397.5"/>
    <n v="1099"/>
    <x v="381"/>
    <s v="0112240616"/>
  </r>
  <r>
    <s v="190008169"/>
    <s v="Grease Monkey Automobile (Pvt) Ltd."/>
    <x v="1"/>
    <x v="1"/>
    <s v="4227193165"/>
    <d v="2021-11-22T00:00:00"/>
    <n v="11"/>
    <x v="4"/>
    <n v="1070"/>
    <n v="1070"/>
    <n v="1093"/>
    <x v="382"/>
    <s v="0112240616"/>
  </r>
  <r>
    <s v="190008169"/>
    <s v="Grease Monkey Automobile (Pvt) Ltd."/>
    <x v="1"/>
    <x v="1"/>
    <s v="4227195712"/>
    <d v="2021-12-13T00:00:00"/>
    <n v="12"/>
    <x v="4"/>
    <n v="1404"/>
    <n v="200"/>
    <n v="1072"/>
    <x v="383"/>
    <s v="0112240616"/>
  </r>
  <r>
    <s v="190008169"/>
    <s v="Grease Monkey Automobile (Pvt) Ltd."/>
    <x v="1"/>
    <x v="1"/>
    <s v="4227195755"/>
    <d v="2021-12-13T00:00:00"/>
    <n v="12"/>
    <x v="4"/>
    <n v="10368"/>
    <n v="551.6"/>
    <n v="1072"/>
    <x v="384"/>
    <s v="0112240616"/>
  </r>
  <r>
    <s v="190008460"/>
    <s v="Ceylon Auto Spares (pvt) Ltd"/>
    <x v="1"/>
    <x v="1"/>
    <s v="4227274196"/>
    <d v="2024-03-11T00:00:00"/>
    <n v="3"/>
    <x v="1"/>
    <n v="32177"/>
    <n v="32177"/>
    <n v="253"/>
    <x v="385"/>
    <s v="0112423481"/>
  </r>
  <r>
    <s v="190008556"/>
    <s v="A. B. S. Motor Trading"/>
    <x v="1"/>
    <x v="1"/>
    <s v="4227227055"/>
    <d v="2022-11-30T00:00:00"/>
    <n v="11"/>
    <x v="6"/>
    <n v="81938"/>
    <n v="11035"/>
    <n v="720"/>
    <x v="386"/>
    <s v="0774057916"/>
  </r>
  <r>
    <s v="190008662"/>
    <s v="Jaymo Auto"/>
    <x v="1"/>
    <x v="1"/>
    <s v="5227015456"/>
    <d v="2024-08-15T00:00:00"/>
    <n v="8"/>
    <x v="1"/>
    <n v="-7533"/>
    <n v="-1149"/>
    <n v="96"/>
    <x v="387"/>
    <s v="0777811810"/>
  </r>
  <r>
    <s v="190008883"/>
    <s v="Toshiba Car Audio &amp; Accessories"/>
    <x v="1"/>
    <x v="1"/>
    <s v="4227298908"/>
    <d v="2024-09-30T00:00:00"/>
    <n v="9"/>
    <x v="1"/>
    <n v="6785"/>
    <n v="6785"/>
    <n v="50"/>
    <x v="3"/>
    <s v="0771876246"/>
  </r>
  <r>
    <s v="190009099"/>
    <s v="Mint Auto Care Centre (pvt) Ltd"/>
    <x v="1"/>
    <x v="1"/>
    <s v="RTN CHQ - 4691"/>
    <d v="2020-11-19T00:00:00"/>
    <n v="11"/>
    <x v="3"/>
    <n v="20169"/>
    <n v="20169"/>
    <n v="1461"/>
    <x v="388"/>
    <s v="112910375"/>
  </r>
  <r>
    <s v="190009099"/>
    <s v="Mint Auto Care Centre (pvt) Ltd"/>
    <x v="1"/>
    <x v="1"/>
    <s v=""/>
    <d v="2020-07-18T00:00:00"/>
    <n v="7"/>
    <x v="3"/>
    <n v="16748.27"/>
    <n v="16748.27"/>
    <n v="1585"/>
    <x v="389"/>
    <s v="112910375"/>
  </r>
  <r>
    <s v="190009099"/>
    <s v="Mint Auto Care Centre (pvt) Ltd"/>
    <x v="1"/>
    <x v="1"/>
    <s v=""/>
    <d v="2020-08-13T00:00:00"/>
    <n v="8"/>
    <x v="3"/>
    <n v="36379.269999999997"/>
    <n v="36379.269999999997"/>
    <n v="1559"/>
    <x v="390"/>
    <s v="112910375"/>
  </r>
  <r>
    <s v="190009099"/>
    <s v="Mint Auto Care Centre (pvt) Ltd"/>
    <x v="1"/>
    <x v="1"/>
    <s v="236155/200312"/>
    <d v="2024-10-21T00:00:00"/>
    <n v="10"/>
    <x v="1"/>
    <n v="-19202"/>
    <n v="-19202"/>
    <n v="29"/>
    <x v="3"/>
    <s v="112910375"/>
  </r>
  <r>
    <s v="190009099"/>
    <s v="Mint Auto Care Centre (pvt) Ltd"/>
    <x v="1"/>
    <x v="1"/>
    <s v="236156/200313"/>
    <d v="2024-10-25T00:00:00"/>
    <n v="10"/>
    <x v="1"/>
    <n v="-1680"/>
    <n v="-1680"/>
    <n v="25"/>
    <x v="3"/>
    <s v="112910375"/>
  </r>
  <r>
    <s v="190009099"/>
    <s v="Mint Auto Care Centre (pvt) Ltd"/>
    <x v="1"/>
    <x v="1"/>
    <s v="236157 / 200314"/>
    <d v="2024-10-30T00:00:00"/>
    <n v="10"/>
    <x v="1"/>
    <n v="-7044"/>
    <n v="-7044"/>
    <n v="20"/>
    <x v="3"/>
    <s v="112910375"/>
  </r>
  <r>
    <s v="190009099"/>
    <s v="Mint Auto Care Centre (pvt) Ltd"/>
    <x v="1"/>
    <x v="1"/>
    <s v="4227134097"/>
    <d v="2020-02-20T00:00:00"/>
    <n v="2"/>
    <x v="3"/>
    <n v="28949"/>
    <n v="5285.59"/>
    <n v="1734"/>
    <x v="391"/>
    <s v="112910375"/>
  </r>
  <r>
    <s v="190009099"/>
    <s v="Mint Auto Care Centre (pvt) Ltd"/>
    <x v="1"/>
    <x v="1"/>
    <s v="4227135939"/>
    <d v="2020-03-05T00:00:00"/>
    <n v="3"/>
    <x v="3"/>
    <n v="7387"/>
    <n v="7387"/>
    <n v="1720"/>
    <x v="253"/>
    <s v="112910375"/>
  </r>
  <r>
    <s v="190009099"/>
    <s v="Mint Auto Care Centre (pvt) Ltd"/>
    <x v="1"/>
    <x v="1"/>
    <s v="4227167293"/>
    <d v="2021-02-20T00:00:00"/>
    <n v="2"/>
    <x v="4"/>
    <n v="14126"/>
    <n v="6438"/>
    <n v="1368"/>
    <x v="392"/>
    <s v="112910375"/>
  </r>
  <r>
    <s v="190009099"/>
    <s v="Mint Auto Care Centre (pvt) Ltd"/>
    <x v="1"/>
    <x v="1"/>
    <s v="4227288046"/>
    <d v="2024-07-19T00:00:00"/>
    <n v="7"/>
    <x v="1"/>
    <n v="10620"/>
    <n v="8724"/>
    <n v="123"/>
    <x v="393"/>
    <s v="112910375"/>
  </r>
  <r>
    <s v="190009099"/>
    <s v="Mint Auto Care Centre (pvt) Ltd"/>
    <x v="1"/>
    <x v="1"/>
    <s v="4227290989"/>
    <d v="2024-08-05T00:00:00"/>
    <n v="8"/>
    <x v="1"/>
    <n v="13098"/>
    <n v="13098"/>
    <n v="106"/>
    <x v="91"/>
    <s v="112910375"/>
  </r>
  <r>
    <s v="190009099"/>
    <s v="Mint Auto Care Centre (pvt) Ltd"/>
    <x v="1"/>
    <x v="1"/>
    <s v="4227290990"/>
    <d v="2024-08-05T00:00:00"/>
    <n v="8"/>
    <x v="1"/>
    <n v="8496"/>
    <n v="8496"/>
    <n v="106"/>
    <x v="394"/>
    <s v="112910375"/>
  </r>
  <r>
    <s v="190009099"/>
    <s v="Mint Auto Care Centre (pvt) Ltd"/>
    <x v="1"/>
    <x v="1"/>
    <s v="4227291115"/>
    <d v="2024-08-06T00:00:00"/>
    <n v="8"/>
    <x v="1"/>
    <n v="2950"/>
    <n v="2950"/>
    <n v="105"/>
    <x v="395"/>
    <s v="112910375"/>
  </r>
  <r>
    <s v="190009099"/>
    <s v="Mint Auto Care Centre (pvt) Ltd"/>
    <x v="1"/>
    <x v="1"/>
    <s v="4227292222"/>
    <d v="2024-08-15T00:00:00"/>
    <n v="8"/>
    <x v="1"/>
    <n v="41772"/>
    <n v="41772"/>
    <n v="96"/>
    <x v="396"/>
    <s v="112910375"/>
  </r>
  <r>
    <s v="190009099"/>
    <s v="Mint Auto Care Centre (pvt) Ltd"/>
    <x v="1"/>
    <x v="1"/>
    <s v="4227293198"/>
    <d v="2024-08-23T00:00:00"/>
    <n v="8"/>
    <x v="1"/>
    <n v="7552"/>
    <n v="7552"/>
    <n v="88"/>
    <x v="3"/>
    <s v="112910375"/>
  </r>
  <r>
    <s v="190009099"/>
    <s v="Mint Auto Care Centre (pvt) Ltd"/>
    <x v="1"/>
    <x v="1"/>
    <s v="4227293199"/>
    <d v="2024-08-23T00:00:00"/>
    <n v="8"/>
    <x v="1"/>
    <n v="10620"/>
    <n v="10620"/>
    <n v="88"/>
    <x v="3"/>
    <s v="112910375"/>
  </r>
  <r>
    <s v="190009099"/>
    <s v="Mint Auto Care Centre (pvt) Ltd"/>
    <x v="1"/>
    <x v="1"/>
    <s v="4227293200"/>
    <d v="2024-08-23T00:00:00"/>
    <n v="8"/>
    <x v="1"/>
    <n v="14868"/>
    <n v="14868"/>
    <n v="88"/>
    <x v="3"/>
    <s v="112910375"/>
  </r>
  <r>
    <s v="190009099"/>
    <s v="Mint Auto Care Centre (pvt) Ltd"/>
    <x v="1"/>
    <x v="1"/>
    <s v="4227293201"/>
    <d v="2024-08-23T00:00:00"/>
    <n v="8"/>
    <x v="1"/>
    <n v="15045"/>
    <n v="15045"/>
    <n v="88"/>
    <x v="3"/>
    <s v="112910375"/>
  </r>
  <r>
    <s v="190009099"/>
    <s v="Mint Auto Care Centre (pvt) Ltd"/>
    <x v="1"/>
    <x v="1"/>
    <s v="4227293229"/>
    <d v="2024-08-23T00:00:00"/>
    <n v="8"/>
    <x v="1"/>
    <n v="7080"/>
    <n v="7080"/>
    <n v="88"/>
    <x v="3"/>
    <s v="112910375"/>
  </r>
  <r>
    <s v="190009099"/>
    <s v="Mint Auto Care Centre (pvt) Ltd"/>
    <x v="1"/>
    <x v="1"/>
    <s v="4227294008"/>
    <d v="2024-08-28T00:00:00"/>
    <n v="8"/>
    <x v="1"/>
    <n v="24086"/>
    <n v="24086"/>
    <n v="83"/>
    <x v="3"/>
    <s v="112910375"/>
  </r>
  <r>
    <s v="190009099"/>
    <s v="Mint Auto Care Centre (pvt) Ltd"/>
    <x v="1"/>
    <x v="1"/>
    <s v="4227294370"/>
    <d v="2024-08-30T00:00:00"/>
    <n v="8"/>
    <x v="1"/>
    <n v="12443"/>
    <n v="12443"/>
    <n v="81"/>
    <x v="3"/>
    <s v="112910375"/>
  </r>
  <r>
    <s v="190009099"/>
    <s v="Mint Auto Care Centre (pvt) Ltd"/>
    <x v="1"/>
    <x v="1"/>
    <s v="4227295341"/>
    <d v="2024-09-03T00:00:00"/>
    <n v="9"/>
    <x v="1"/>
    <n v="13098"/>
    <n v="13098"/>
    <n v="77"/>
    <x v="3"/>
    <s v="112910375"/>
  </r>
  <r>
    <s v="190009099"/>
    <s v="Mint Auto Care Centre (pvt) Ltd"/>
    <x v="1"/>
    <x v="1"/>
    <s v="4227295863"/>
    <d v="2024-09-09T00:00:00"/>
    <n v="9"/>
    <x v="1"/>
    <n v="12685"/>
    <n v="12685"/>
    <n v="71"/>
    <x v="3"/>
    <s v="112910375"/>
  </r>
  <r>
    <s v="190009099"/>
    <s v="Mint Auto Care Centre (pvt) Ltd"/>
    <x v="1"/>
    <x v="1"/>
    <s v="4227295864"/>
    <d v="2024-09-09T00:00:00"/>
    <n v="9"/>
    <x v="1"/>
    <n v="11800"/>
    <n v="11800"/>
    <n v="71"/>
    <x v="3"/>
    <s v="112910375"/>
  </r>
  <r>
    <s v="190009099"/>
    <s v="Mint Auto Care Centre (pvt) Ltd"/>
    <x v="1"/>
    <x v="1"/>
    <s v="4227296429"/>
    <d v="2024-09-13T00:00:00"/>
    <n v="9"/>
    <x v="1"/>
    <n v="24886"/>
    <n v="24886"/>
    <n v="67"/>
    <x v="3"/>
    <s v="112910375"/>
  </r>
  <r>
    <s v="190009099"/>
    <s v="Mint Auto Care Centre (pvt) Ltd"/>
    <x v="1"/>
    <x v="1"/>
    <s v="4227296626"/>
    <d v="2024-09-18T00:00:00"/>
    <n v="9"/>
    <x v="1"/>
    <n v="20237"/>
    <n v="20237"/>
    <n v="62"/>
    <x v="3"/>
    <s v="112910375"/>
  </r>
  <r>
    <s v="190009099"/>
    <s v="Mint Auto Care Centre (pvt) Ltd"/>
    <x v="1"/>
    <x v="1"/>
    <s v="4227296839"/>
    <d v="2024-09-20T00:00:00"/>
    <n v="9"/>
    <x v="1"/>
    <n v="22656"/>
    <n v="22656"/>
    <n v="60"/>
    <x v="3"/>
    <s v="112910375"/>
  </r>
  <r>
    <s v="190009099"/>
    <s v="Mint Auto Care Centre (pvt) Ltd"/>
    <x v="1"/>
    <x v="1"/>
    <s v="4227300086"/>
    <d v="2024-10-10T00:00:00"/>
    <n v="10"/>
    <x v="1"/>
    <n v="8850"/>
    <n v="8850"/>
    <n v="40"/>
    <x v="3"/>
    <s v="112910375"/>
  </r>
  <r>
    <s v="190009099"/>
    <s v="Mint Auto Care Centre (pvt) Ltd"/>
    <x v="1"/>
    <x v="1"/>
    <s v="4227300364"/>
    <d v="2024-10-11T00:00:00"/>
    <n v="10"/>
    <x v="1"/>
    <n v="20768"/>
    <n v="20768"/>
    <n v="39"/>
    <x v="3"/>
    <s v="112910375"/>
  </r>
  <r>
    <s v="190009099"/>
    <s v="Mint Auto Care Centre (pvt) Ltd"/>
    <x v="1"/>
    <x v="1"/>
    <s v="4227300365"/>
    <d v="2024-10-11T00:00:00"/>
    <n v="10"/>
    <x v="1"/>
    <n v="20178"/>
    <n v="20178"/>
    <n v="39"/>
    <x v="3"/>
    <s v="112910375"/>
  </r>
  <r>
    <s v="190009099"/>
    <s v="Mint Auto Care Centre (pvt) Ltd"/>
    <x v="1"/>
    <x v="1"/>
    <s v="4227300366"/>
    <d v="2024-10-11T00:00:00"/>
    <n v="10"/>
    <x v="1"/>
    <n v="8732"/>
    <n v="8732"/>
    <n v="39"/>
    <x v="3"/>
    <s v="112910375"/>
  </r>
  <r>
    <s v="190009099"/>
    <s v="Mint Auto Care Centre (pvt) Ltd"/>
    <x v="1"/>
    <x v="1"/>
    <s v="4227300385"/>
    <d v="2024-10-11T00:00:00"/>
    <n v="10"/>
    <x v="1"/>
    <n v="12036"/>
    <n v="12036"/>
    <n v="39"/>
    <x v="3"/>
    <s v="112910375"/>
  </r>
  <r>
    <s v="190009099"/>
    <s v="Mint Auto Care Centre (pvt) Ltd"/>
    <x v="1"/>
    <x v="1"/>
    <s v="4227300543"/>
    <d v="2024-10-14T00:00:00"/>
    <n v="10"/>
    <x v="1"/>
    <n v="1770"/>
    <n v="1770"/>
    <n v="36"/>
    <x v="3"/>
    <s v="112910375"/>
  </r>
  <r>
    <s v="190009099"/>
    <s v="Mint Auto Care Centre (pvt) Ltd"/>
    <x v="1"/>
    <x v="1"/>
    <s v="4227303130"/>
    <d v="2024-10-30T00:00:00"/>
    <n v="10"/>
    <x v="1"/>
    <n v="26196"/>
    <n v="26196"/>
    <n v="20"/>
    <x v="3"/>
    <s v="112910375"/>
  </r>
  <r>
    <s v="190009099"/>
    <s v="Mint Auto Care Centre (pvt) Ltd"/>
    <x v="1"/>
    <x v="1"/>
    <s v="4227303131"/>
    <d v="2024-10-30T00:00:00"/>
    <n v="10"/>
    <x v="1"/>
    <n v="7080"/>
    <n v="7080"/>
    <n v="20"/>
    <x v="3"/>
    <s v="112910375"/>
  </r>
  <r>
    <s v="190009140"/>
    <s v="Car Care"/>
    <x v="1"/>
    <x v="1"/>
    <s v=""/>
    <d v="2022-08-18T00:00:00"/>
    <n v="8"/>
    <x v="6"/>
    <n v="-2073"/>
    <n v="-2073"/>
    <n v="824"/>
    <x v="397"/>
    <s v="0714896032"/>
  </r>
  <r>
    <s v="190009140"/>
    <s v="Car Care"/>
    <x v="1"/>
    <x v="1"/>
    <s v="4227215721"/>
    <d v="2022-07-22T00:00:00"/>
    <n v="7"/>
    <x v="6"/>
    <n v="6686"/>
    <n v="6686"/>
    <n v="851"/>
    <x v="398"/>
    <s v="0714896032"/>
  </r>
  <r>
    <s v="190009147"/>
    <s v="Krishan Auto"/>
    <x v="1"/>
    <x v="1"/>
    <s v="4227239502"/>
    <d v="2023-04-26T00:00:00"/>
    <n v="4"/>
    <x v="0"/>
    <n v="5750"/>
    <n v="5750"/>
    <n v="573"/>
    <x v="399"/>
    <s v="0777827456"/>
  </r>
  <r>
    <s v="190009257"/>
    <s v="Sirisena Motors"/>
    <x v="1"/>
    <x v="1"/>
    <s v="4227099853"/>
    <d v="2019-04-08T00:00:00"/>
    <n v="4"/>
    <x v="5"/>
    <n v="11500"/>
    <n v="11500"/>
    <n v="2052"/>
    <x v="400"/>
    <s v="0716961059"/>
  </r>
  <r>
    <s v="190009257"/>
    <s v="Sirisena Motors"/>
    <x v="1"/>
    <x v="1"/>
    <s v="4227100023"/>
    <d v="2019-04-09T00:00:00"/>
    <n v="4"/>
    <x v="5"/>
    <n v="11500"/>
    <n v="11500"/>
    <n v="2051"/>
    <x v="400"/>
    <s v="0716961059"/>
  </r>
  <r>
    <s v="190009266"/>
    <s v="City Car Wash"/>
    <x v="1"/>
    <x v="1"/>
    <s v="4227239493"/>
    <d v="2023-04-26T00:00:00"/>
    <n v="4"/>
    <x v="0"/>
    <n v="12765"/>
    <n v="412"/>
    <n v="573"/>
    <x v="401"/>
    <s v="0113670564"/>
  </r>
  <r>
    <s v="190009266"/>
    <s v="City Car Wash"/>
    <x v="1"/>
    <x v="1"/>
    <s v="4227290002"/>
    <d v="2024-07-31T00:00:00"/>
    <n v="7"/>
    <x v="1"/>
    <n v="30680"/>
    <n v="30680"/>
    <n v="111"/>
    <x v="402"/>
    <s v="0113670564"/>
  </r>
  <r>
    <s v="190009277"/>
    <s v="Latest Car Centre"/>
    <x v="1"/>
    <x v="1"/>
    <s v="4227097038"/>
    <d v="2019-03-14T00:00:00"/>
    <n v="3"/>
    <x v="5"/>
    <n v="1917"/>
    <n v="1005"/>
    <n v="2077"/>
    <x v="403"/>
    <s v="0777592727"/>
  </r>
  <r>
    <s v="190009277"/>
    <s v="Latest Car Centre"/>
    <x v="1"/>
    <x v="1"/>
    <s v="4227104341"/>
    <d v="2019-05-31T00:00:00"/>
    <n v="5"/>
    <x v="5"/>
    <n v="4394"/>
    <n v="4394"/>
    <n v="1999"/>
    <x v="404"/>
    <s v="0777592727"/>
  </r>
  <r>
    <s v="190009277"/>
    <s v="Latest Car Centre"/>
    <x v="1"/>
    <x v="1"/>
    <s v="4227104368"/>
    <d v="2019-05-31T00:00:00"/>
    <n v="5"/>
    <x v="5"/>
    <n v="1813"/>
    <n v="1813"/>
    <n v="1999"/>
    <x v="405"/>
    <s v="0777592727"/>
  </r>
  <r>
    <s v="190009278"/>
    <s v="Dasadiga Motors"/>
    <x v="1"/>
    <x v="1"/>
    <s v="4227276670"/>
    <d v="2024-03-28T00:00:00"/>
    <n v="3"/>
    <x v="1"/>
    <n v="14160"/>
    <n v="14160"/>
    <n v="236"/>
    <x v="406"/>
    <s v="0112335752"/>
  </r>
  <r>
    <s v="190009283"/>
    <s v="Auto Life"/>
    <x v="1"/>
    <x v="1"/>
    <s v="RTN CHQ -076724"/>
    <d v="2019-04-26T00:00:00"/>
    <n v="4"/>
    <x v="5"/>
    <n v="22874"/>
    <n v="17874"/>
    <n v="2034"/>
    <x v="407"/>
    <s v="0776700580"/>
  </r>
  <r>
    <s v="190009374"/>
    <s v="S. L. Air Conditioning"/>
    <x v="1"/>
    <x v="1"/>
    <s v="4227146259"/>
    <d v="2020-08-10T00:00:00"/>
    <n v="8"/>
    <x v="3"/>
    <n v="653400"/>
    <n v="3400"/>
    <n v="1562"/>
    <x v="408"/>
    <s v="0112698855"/>
  </r>
  <r>
    <s v="190009412"/>
    <s v="The Kandy Tyre House (pvt) Ltd"/>
    <x v="1"/>
    <x v="1"/>
    <s v="4227110742"/>
    <d v="2019-07-31T00:00:00"/>
    <n v="7"/>
    <x v="5"/>
    <n v="25095"/>
    <n v="14225"/>
    <n v="1938"/>
    <x v="409"/>
    <s v="0112674675"/>
  </r>
  <r>
    <s v="190009412"/>
    <s v="The Kandy Tyre House (pvt) Ltd"/>
    <x v="1"/>
    <x v="1"/>
    <s v="4227116460"/>
    <d v="2019-09-19T00:00:00"/>
    <n v="9"/>
    <x v="5"/>
    <n v="10508"/>
    <n v="10508"/>
    <n v="1888"/>
    <x v="410"/>
    <s v="0112674675"/>
  </r>
  <r>
    <s v="190009415"/>
    <s v="Nalinda Super Motors"/>
    <x v="1"/>
    <x v="1"/>
    <s v="4227216256"/>
    <d v="2022-07-30T00:00:00"/>
    <n v="7"/>
    <x v="6"/>
    <n v="73920"/>
    <n v="36960"/>
    <n v="843"/>
    <x v="411"/>
    <s v="0112694069"/>
  </r>
  <r>
    <s v="190009454"/>
    <s v="Herath Motor and Diesel Engineers"/>
    <x v="1"/>
    <x v="1"/>
    <s v="4227243288"/>
    <d v="2023-05-31T00:00:00"/>
    <n v="5"/>
    <x v="0"/>
    <n v="89163"/>
    <n v="89163"/>
    <n v="538"/>
    <x v="412"/>
    <s v="0112459325"/>
  </r>
  <r>
    <s v="190009507"/>
    <s v="Paramount Motor Spares"/>
    <x v="1"/>
    <x v="1"/>
    <s v="4227110975"/>
    <d v="2019-07-31T00:00:00"/>
    <n v="7"/>
    <x v="5"/>
    <n v="6055"/>
    <n v="6055"/>
    <n v="1938"/>
    <x v="413"/>
    <s v="0776188397"/>
  </r>
  <r>
    <s v="190009507"/>
    <s v="Paramount Motor Spares"/>
    <x v="1"/>
    <x v="1"/>
    <s v="4227118193"/>
    <d v="2019-10-01T00:00:00"/>
    <n v="10"/>
    <x v="5"/>
    <n v="5606"/>
    <n v="606"/>
    <n v="1876"/>
    <x v="414"/>
    <s v="0776188397"/>
  </r>
  <r>
    <s v="190009507"/>
    <s v="Paramount Motor Spares"/>
    <x v="1"/>
    <x v="1"/>
    <s v="4227118271"/>
    <d v="2019-10-02T00:00:00"/>
    <n v="10"/>
    <x v="5"/>
    <n v="15778"/>
    <n v="15778"/>
    <n v="1875"/>
    <x v="415"/>
    <s v="0776188397"/>
  </r>
  <r>
    <s v="190009545"/>
    <s v="Piyal Diesel Motor Works"/>
    <x v="1"/>
    <x v="1"/>
    <s v="4227300280"/>
    <d v="2024-10-11T00:00:00"/>
    <n v="10"/>
    <x v="1"/>
    <n v="20390"/>
    <n v="20390"/>
    <n v="39"/>
    <x v="3"/>
    <s v="0776415352"/>
  </r>
  <r>
    <s v="190009545"/>
    <s v="Piyal Diesel Motor Works"/>
    <x v="1"/>
    <x v="1"/>
    <s v="4227304342"/>
    <d v="2024-10-31T00:00:00"/>
    <n v="10"/>
    <x v="1"/>
    <n v="31180"/>
    <n v="31180"/>
    <n v="19"/>
    <x v="3"/>
    <s v="0776415352"/>
  </r>
  <r>
    <s v="190009545"/>
    <s v="Piyal Diesel Motor Works"/>
    <x v="1"/>
    <x v="1"/>
    <s v="5227015637"/>
    <d v="2024-09-20T00:00:00"/>
    <n v="9"/>
    <x v="1"/>
    <n v="-271400"/>
    <n v="-271400"/>
    <n v="60"/>
    <x v="3"/>
    <s v="0776415352"/>
  </r>
  <r>
    <s v="190009548"/>
    <s v="New Regent Motors Lanka (Pvt) Ltd"/>
    <x v="1"/>
    <x v="1"/>
    <s v="4227191449"/>
    <d v="2021-11-05T00:00:00"/>
    <n v="11"/>
    <x v="4"/>
    <n v="6830"/>
    <n v="6830"/>
    <n v="1110"/>
    <x v="416"/>
    <s v="0112342843"/>
  </r>
  <r>
    <s v="190009548"/>
    <s v="New Regent Motors Lanka (Pvt) Ltd"/>
    <x v="1"/>
    <x v="1"/>
    <s v="4227194142"/>
    <d v="2021-11-29T00:00:00"/>
    <n v="11"/>
    <x v="4"/>
    <n v="5686"/>
    <n v="5686"/>
    <n v="1086"/>
    <x v="417"/>
    <s v="0112342843"/>
  </r>
  <r>
    <s v="190009548"/>
    <s v="New Regent Motors Lanka (Pvt) Ltd"/>
    <x v="1"/>
    <x v="1"/>
    <s v="4227196617"/>
    <d v="2021-12-21T00:00:00"/>
    <n v="12"/>
    <x v="4"/>
    <n v="15161"/>
    <n v="15161"/>
    <n v="1064"/>
    <x v="418"/>
    <s v="0112342843"/>
  </r>
  <r>
    <s v="190009548"/>
    <s v="New Regent Motors Lanka (Pvt) Ltd"/>
    <x v="1"/>
    <x v="1"/>
    <s v="4227196639"/>
    <d v="2021-12-21T00:00:00"/>
    <n v="12"/>
    <x v="4"/>
    <n v="24599"/>
    <n v="24599"/>
    <n v="1064"/>
    <x v="419"/>
    <s v="0112342843"/>
  </r>
  <r>
    <s v="190009587"/>
    <s v="Palitha Motors"/>
    <x v="1"/>
    <x v="1"/>
    <s v="4227249993"/>
    <d v="2023-08-08T00:00:00"/>
    <n v="8"/>
    <x v="0"/>
    <n v="30811"/>
    <n v="561"/>
    <n v="469"/>
    <x v="420"/>
    <s v="0716464764"/>
  </r>
  <r>
    <s v="190009587"/>
    <s v="Palitha Motors"/>
    <x v="1"/>
    <x v="1"/>
    <s v="4227268157"/>
    <d v="2024-01-18T00:00:00"/>
    <n v="1"/>
    <x v="1"/>
    <n v="50466"/>
    <n v="25466"/>
    <n v="306"/>
    <x v="421"/>
    <s v="0716464764"/>
  </r>
  <r>
    <s v="190009601"/>
    <s v="Polo Motors"/>
    <x v="1"/>
    <x v="1"/>
    <s v="4227214893"/>
    <d v="2022-06-30T00:00:00"/>
    <n v="6"/>
    <x v="6"/>
    <n v="95962"/>
    <n v="14203"/>
    <n v="873"/>
    <x v="422"/>
    <s v="0112334368"/>
  </r>
  <r>
    <s v="190009712"/>
    <s v="Kelaniya Filling Station"/>
    <x v="1"/>
    <x v="1"/>
    <s v="4227253756"/>
    <d v="2023-09-09T00:00:00"/>
    <n v="9"/>
    <x v="0"/>
    <n v="182367"/>
    <n v="21053"/>
    <n v="437"/>
    <x v="423"/>
    <s v="112984133"/>
  </r>
  <r>
    <s v="190009712"/>
    <s v="Kelaniya Filling Station"/>
    <x v="1"/>
    <x v="1"/>
    <s v="4227297334"/>
    <d v="2024-09-20T00:00:00"/>
    <n v="9"/>
    <x v="1"/>
    <n v="29252"/>
    <n v="4372"/>
    <n v="60"/>
    <x v="3"/>
    <s v="112984133"/>
  </r>
  <r>
    <s v="190009712"/>
    <s v="Kelaniya Filling Station"/>
    <x v="1"/>
    <x v="1"/>
    <s v="4227299022"/>
    <d v="2024-09-30T00:00:00"/>
    <n v="9"/>
    <x v="1"/>
    <n v="24886"/>
    <n v="24886"/>
    <n v="50"/>
    <x v="3"/>
    <s v="112984133"/>
  </r>
  <r>
    <s v="190009712"/>
    <s v="Kelaniya Filling Station"/>
    <x v="1"/>
    <x v="1"/>
    <s v="4227303060"/>
    <d v="2024-10-29T00:00:00"/>
    <n v="10"/>
    <x v="1"/>
    <n v="2242"/>
    <n v="2242"/>
    <n v="21"/>
    <x v="3"/>
    <s v="112984133"/>
  </r>
  <r>
    <s v="190010049"/>
    <s v="Care Auto Service Station"/>
    <x v="1"/>
    <x v="1"/>
    <s v=""/>
    <d v="2022-10-17T00:00:00"/>
    <n v="10"/>
    <x v="6"/>
    <n v="-254"/>
    <n v="-254"/>
    <n v="764"/>
    <x v="424"/>
    <s v="0716211303"/>
  </r>
  <r>
    <s v="190010049"/>
    <s v="Care Auto Service Station"/>
    <x v="1"/>
    <x v="1"/>
    <s v="228680 / 955197"/>
    <d v="2024-07-23T00:00:00"/>
    <n v="7"/>
    <x v="1"/>
    <n v="-749"/>
    <n v="-749"/>
    <n v="119"/>
    <x v="425"/>
    <s v="0716211303"/>
  </r>
  <r>
    <s v="190010049"/>
    <s v="Care Auto Service Station"/>
    <x v="1"/>
    <x v="1"/>
    <s v="230134 / 366469"/>
    <d v="2024-08-30T00:00:00"/>
    <n v="8"/>
    <x v="1"/>
    <n v="-34115"/>
    <n v="-34115"/>
    <n v="81"/>
    <x v="3"/>
    <s v="0716211303"/>
  </r>
  <r>
    <s v="190010049"/>
    <s v="Care Auto Service Station"/>
    <x v="1"/>
    <x v="1"/>
    <s v="233324 /  366483"/>
    <d v="2024-09-25T00:00:00"/>
    <n v="9"/>
    <x v="1"/>
    <n v="-5021"/>
    <n v="-5021"/>
    <n v="55"/>
    <x v="3"/>
    <s v="0716211303"/>
  </r>
  <r>
    <s v="190010049"/>
    <s v="Care Auto Service Station"/>
    <x v="1"/>
    <x v="1"/>
    <s v="236175/498951"/>
    <d v="2024-10-21T00:00:00"/>
    <n v="10"/>
    <x v="1"/>
    <n v="-27577"/>
    <n v="-27577"/>
    <n v="29"/>
    <x v="3"/>
    <s v="0716211303"/>
  </r>
  <r>
    <s v="190010049"/>
    <s v="Care Auto Service Station"/>
    <x v="1"/>
    <x v="1"/>
    <s v="4227282122"/>
    <d v="2024-05-30T00:00:00"/>
    <n v="5"/>
    <x v="1"/>
    <n v="41435"/>
    <n v="752"/>
    <n v="173"/>
    <x v="426"/>
    <s v="0716211303"/>
  </r>
  <r>
    <s v="190010049"/>
    <s v="Care Auto Service Station"/>
    <x v="1"/>
    <x v="1"/>
    <s v="4227288996"/>
    <d v="2024-07-25T00:00:00"/>
    <n v="7"/>
    <x v="1"/>
    <n v="60227"/>
    <n v="5023"/>
    <n v="117"/>
    <x v="427"/>
    <s v="0716211303"/>
  </r>
  <r>
    <s v="190010049"/>
    <s v="Care Auto Service Station"/>
    <x v="1"/>
    <x v="1"/>
    <s v="4227293194"/>
    <d v="2024-08-23T00:00:00"/>
    <n v="8"/>
    <x v="1"/>
    <n v="29892"/>
    <n v="2315"/>
    <n v="88"/>
    <x v="3"/>
    <s v="0716211303"/>
  </r>
  <r>
    <s v="190010049"/>
    <s v="Care Auto Service Station"/>
    <x v="1"/>
    <x v="1"/>
    <s v="4227293195"/>
    <d v="2024-08-23T00:00:00"/>
    <n v="8"/>
    <x v="1"/>
    <n v="48994"/>
    <n v="25263"/>
    <n v="88"/>
    <x v="3"/>
    <s v="0716211303"/>
  </r>
  <r>
    <s v="190010049"/>
    <s v="Care Auto Service Station"/>
    <x v="1"/>
    <x v="1"/>
    <s v="4227296840"/>
    <d v="2024-09-20T00:00:00"/>
    <n v="9"/>
    <x v="1"/>
    <n v="35896"/>
    <n v="35896"/>
    <n v="60"/>
    <x v="3"/>
    <s v="0716211303"/>
  </r>
  <r>
    <s v="190010049"/>
    <s v="Care Auto Service Station"/>
    <x v="1"/>
    <x v="1"/>
    <s v="4227298159"/>
    <d v="2024-09-28T00:00:00"/>
    <n v="9"/>
    <x v="1"/>
    <n v="13594"/>
    <n v="13594"/>
    <n v="52"/>
    <x v="3"/>
    <s v="0716211303"/>
  </r>
  <r>
    <s v="190010049"/>
    <s v="Care Auto Service Station"/>
    <x v="1"/>
    <x v="1"/>
    <s v="4227298160"/>
    <d v="2024-09-28T00:00:00"/>
    <n v="9"/>
    <x v="1"/>
    <n v="13594"/>
    <n v="13594"/>
    <n v="52"/>
    <x v="3"/>
    <s v="0716211303"/>
  </r>
  <r>
    <s v="190010049"/>
    <s v="Care Auto Service Station"/>
    <x v="1"/>
    <x v="1"/>
    <s v="4227298339"/>
    <d v="2024-09-30T00:00:00"/>
    <n v="9"/>
    <x v="1"/>
    <n v="5919"/>
    <n v="5919"/>
    <n v="50"/>
    <x v="3"/>
    <s v="0716211303"/>
  </r>
  <r>
    <s v="190010049"/>
    <s v="Care Auto Service Station"/>
    <x v="1"/>
    <x v="1"/>
    <s v="4227299042"/>
    <d v="2024-09-30T00:00:00"/>
    <n v="9"/>
    <x v="1"/>
    <n v="35400"/>
    <n v="35400"/>
    <n v="50"/>
    <x v="3"/>
    <s v="0716211303"/>
  </r>
  <r>
    <s v="190010049"/>
    <s v="Care Auto Service Station"/>
    <x v="1"/>
    <x v="1"/>
    <s v="4227299405"/>
    <d v="2024-10-04T00:00:00"/>
    <n v="10"/>
    <x v="1"/>
    <n v="50466"/>
    <n v="50466"/>
    <n v="46"/>
    <x v="3"/>
    <s v="0716211303"/>
  </r>
  <r>
    <s v="190010049"/>
    <s v="Care Auto Service Station"/>
    <x v="1"/>
    <x v="1"/>
    <s v="4227302010"/>
    <d v="2024-10-24T00:00:00"/>
    <n v="10"/>
    <x v="1"/>
    <n v="51920"/>
    <n v="51920"/>
    <n v="26"/>
    <x v="3"/>
    <s v="0716211303"/>
  </r>
  <r>
    <s v="190010049"/>
    <s v="Care Auto Service Station"/>
    <x v="1"/>
    <x v="1"/>
    <s v="4227302011"/>
    <d v="2024-10-24T00:00:00"/>
    <n v="10"/>
    <x v="1"/>
    <n v="10644"/>
    <n v="10644"/>
    <n v="26"/>
    <x v="3"/>
    <s v="0716211303"/>
  </r>
  <r>
    <s v="190010049"/>
    <s v="Care Auto Service Station"/>
    <x v="1"/>
    <x v="1"/>
    <s v="4227302012"/>
    <d v="2024-10-24T00:00:00"/>
    <n v="10"/>
    <x v="1"/>
    <n v="33040"/>
    <n v="33040"/>
    <n v="26"/>
    <x v="3"/>
    <s v="0716211303"/>
  </r>
  <r>
    <s v="190010049"/>
    <s v="Care Auto Service Station"/>
    <x v="1"/>
    <x v="1"/>
    <s v="4227302633"/>
    <d v="2024-10-28T00:00:00"/>
    <n v="10"/>
    <x v="1"/>
    <n v="26243"/>
    <n v="26243"/>
    <n v="22"/>
    <x v="3"/>
    <s v="0716211303"/>
  </r>
  <r>
    <s v="190010049"/>
    <s v="Care Auto Service Station"/>
    <x v="1"/>
    <x v="1"/>
    <s v="4227302635"/>
    <d v="2024-10-28T00:00:00"/>
    <n v="10"/>
    <x v="1"/>
    <n v="15954"/>
    <n v="15954"/>
    <n v="22"/>
    <x v="3"/>
    <s v="0716211303"/>
  </r>
  <r>
    <s v="190010049"/>
    <s v="Care Auto Service Station"/>
    <x v="1"/>
    <x v="1"/>
    <s v="4227302730"/>
    <d v="2024-10-28T00:00:00"/>
    <n v="10"/>
    <x v="1"/>
    <n v="13594"/>
    <n v="13594"/>
    <n v="22"/>
    <x v="3"/>
    <s v="0716211303"/>
  </r>
  <r>
    <s v="190010049"/>
    <s v="Care Auto Service Station"/>
    <x v="1"/>
    <x v="1"/>
    <s v="4227303140"/>
    <d v="2024-10-30T00:00:00"/>
    <n v="10"/>
    <x v="1"/>
    <n v="7567"/>
    <n v="7567"/>
    <n v="20"/>
    <x v="3"/>
    <s v="0716211303"/>
  </r>
  <r>
    <s v="190010049"/>
    <s v="Care Auto Service Station"/>
    <x v="1"/>
    <x v="1"/>
    <s v="4227305425"/>
    <d v="2024-11-11T00:00:00"/>
    <n v="11"/>
    <x v="1"/>
    <n v="17997"/>
    <n v="17997"/>
    <n v="8"/>
    <x v="3"/>
    <s v="0716211303"/>
  </r>
  <r>
    <s v="190010213"/>
    <s v="L. M. Perera Motors"/>
    <x v="1"/>
    <x v="1"/>
    <s v="4227224046"/>
    <d v="2022-10-28T00:00:00"/>
    <n v="10"/>
    <x v="6"/>
    <n v="41400"/>
    <n v="16400"/>
    <n v="753"/>
    <x v="428"/>
    <s v="0112435155"/>
  </r>
  <r>
    <s v="190010540"/>
    <s v="Sirantha Elecrticals"/>
    <x v="1"/>
    <x v="1"/>
    <s v="228673 / 255448"/>
    <d v="2024-09-30T00:00:00"/>
    <n v="9"/>
    <x v="1"/>
    <n v="-191750"/>
    <n v="-191750"/>
    <n v="50"/>
    <x v="3"/>
    <s v="0779965438"/>
  </r>
  <r>
    <s v="190010540"/>
    <s v="Sirantha Elecrticals"/>
    <x v="1"/>
    <x v="1"/>
    <s v="230112/177138"/>
    <d v="2024-10-28T00:00:00"/>
    <n v="10"/>
    <x v="1"/>
    <n v="-139439"/>
    <n v="-139439"/>
    <n v="22"/>
    <x v="3"/>
    <s v="0779965438"/>
  </r>
  <r>
    <s v="190010540"/>
    <s v="Sirantha Elecrticals"/>
    <x v="1"/>
    <x v="1"/>
    <s v="236193/867164"/>
    <d v="2024-10-31T00:00:00"/>
    <n v="10"/>
    <x v="1"/>
    <n v="-76523"/>
    <n v="-76523"/>
    <n v="19"/>
    <x v="3"/>
    <s v="0779965438"/>
  </r>
  <r>
    <s v="190010540"/>
    <s v="Sirantha Elecrticals"/>
    <x v="1"/>
    <x v="1"/>
    <s v="228674 / 255450"/>
    <d v="2024-10-31T00:00:00"/>
    <n v="10"/>
    <x v="1"/>
    <n v="-191750"/>
    <n v="-191750"/>
    <n v="19"/>
    <x v="3"/>
    <s v="0779965438"/>
  </r>
  <r>
    <s v="190010540"/>
    <s v="Sirantha Elecrticals"/>
    <x v="1"/>
    <x v="1"/>
    <s v="4227248000"/>
    <d v="2023-07-20T00:00:00"/>
    <n v="7"/>
    <x v="0"/>
    <n v="126067"/>
    <n v="15525"/>
    <n v="488"/>
    <x v="429"/>
    <s v="0779965438"/>
  </r>
  <r>
    <s v="190010540"/>
    <s v="Sirantha Elecrticals"/>
    <x v="1"/>
    <x v="1"/>
    <s v="4227280624"/>
    <d v="2024-05-14T00:00:00"/>
    <n v="5"/>
    <x v="1"/>
    <n v="64570"/>
    <n v="64570"/>
    <n v="189"/>
    <x v="31"/>
    <s v="0779965438"/>
  </r>
  <r>
    <s v="190010540"/>
    <s v="Sirantha Elecrticals"/>
    <x v="1"/>
    <x v="1"/>
    <s v="4227281607"/>
    <d v="2024-05-27T00:00:00"/>
    <n v="5"/>
    <x v="1"/>
    <n v="57171"/>
    <n v="57171"/>
    <n v="176"/>
    <x v="430"/>
    <s v="0779965438"/>
  </r>
  <r>
    <s v="190010540"/>
    <s v="Sirantha Elecrticals"/>
    <x v="1"/>
    <x v="1"/>
    <s v="4227282525"/>
    <d v="2024-05-31T00:00:00"/>
    <n v="5"/>
    <x v="1"/>
    <n v="401436"/>
    <n v="401436"/>
    <n v="172"/>
    <x v="431"/>
    <s v="0779965438"/>
  </r>
  <r>
    <s v="190010540"/>
    <s v="Sirantha Elecrticals"/>
    <x v="1"/>
    <x v="1"/>
    <s v="4227285981"/>
    <d v="2024-06-30T00:00:00"/>
    <n v="6"/>
    <x v="1"/>
    <n v="767000"/>
    <n v="2"/>
    <n v="142"/>
    <x v="432"/>
    <s v="0779965438"/>
  </r>
  <r>
    <s v="190010540"/>
    <s v="Sirantha Elecrticals"/>
    <x v="1"/>
    <x v="1"/>
    <s v="4227286598"/>
    <d v="2024-07-08T00:00:00"/>
    <n v="7"/>
    <x v="1"/>
    <n v="767000"/>
    <n v="383500"/>
    <n v="134"/>
    <x v="433"/>
    <s v="0779965438"/>
  </r>
  <r>
    <s v="190010540"/>
    <s v="Sirantha Elecrticals"/>
    <x v="1"/>
    <x v="1"/>
    <s v="4227289936"/>
    <d v="2024-07-30T00:00:00"/>
    <n v="7"/>
    <x v="1"/>
    <n v="236000"/>
    <n v="76523"/>
    <n v="112"/>
    <x v="434"/>
    <s v="0779965438"/>
  </r>
  <r>
    <s v="190010540"/>
    <s v="Sirantha Elecrticals"/>
    <x v="1"/>
    <x v="1"/>
    <s v="4227289937"/>
    <d v="2024-07-30T00:00:00"/>
    <n v="7"/>
    <x v="1"/>
    <n v="41499"/>
    <n v="41499"/>
    <n v="112"/>
    <x v="435"/>
    <s v="0779965438"/>
  </r>
  <r>
    <s v="190010540"/>
    <s v="Sirantha Elecrticals"/>
    <x v="1"/>
    <x v="1"/>
    <s v="4227291412"/>
    <d v="2024-08-08T00:00:00"/>
    <n v="8"/>
    <x v="1"/>
    <n v="9912"/>
    <n v="9912"/>
    <n v="103"/>
    <x v="436"/>
    <s v="0779965438"/>
  </r>
  <r>
    <s v="190010540"/>
    <s v="Sirantha Elecrticals"/>
    <x v="1"/>
    <x v="1"/>
    <s v="4227294021"/>
    <d v="2024-08-28T00:00:00"/>
    <n v="8"/>
    <x v="1"/>
    <n v="47752"/>
    <n v="47752"/>
    <n v="83"/>
    <x v="3"/>
    <s v="0779965438"/>
  </r>
  <r>
    <s v="190010540"/>
    <s v="Sirantha Elecrticals"/>
    <x v="1"/>
    <x v="1"/>
    <s v="4227294785"/>
    <d v="2024-08-31T00:00:00"/>
    <n v="8"/>
    <x v="1"/>
    <n v="409465"/>
    <n v="409465"/>
    <n v="80"/>
    <x v="3"/>
    <s v="0779965438"/>
  </r>
  <r>
    <s v="190010540"/>
    <s v="Sirantha Elecrticals"/>
    <x v="1"/>
    <x v="1"/>
    <s v="4227294786"/>
    <d v="2024-08-31T00:00:00"/>
    <n v="8"/>
    <x v="1"/>
    <n v="82954"/>
    <n v="82954"/>
    <n v="80"/>
    <x v="3"/>
    <s v="0779965438"/>
  </r>
  <r>
    <s v="190010540"/>
    <s v="Sirantha Elecrticals"/>
    <x v="1"/>
    <x v="1"/>
    <s v="4227297345"/>
    <d v="2024-09-20T00:00:00"/>
    <n v="9"/>
    <x v="1"/>
    <n v="99545"/>
    <n v="99545"/>
    <n v="60"/>
    <x v="3"/>
    <s v="0779965438"/>
  </r>
  <r>
    <s v="190010540"/>
    <s v="Sirantha Elecrticals"/>
    <x v="1"/>
    <x v="1"/>
    <s v="4227298199"/>
    <d v="2024-09-28T00:00:00"/>
    <n v="9"/>
    <x v="1"/>
    <n v="200718"/>
    <n v="200718"/>
    <n v="52"/>
    <x v="3"/>
    <s v="0779965438"/>
  </r>
  <r>
    <s v="190010540"/>
    <s v="Sirantha Elecrticals"/>
    <x v="1"/>
    <x v="1"/>
    <s v="4227298341"/>
    <d v="2024-09-30T00:00:00"/>
    <n v="9"/>
    <x v="1"/>
    <n v="99545"/>
    <n v="99545"/>
    <n v="50"/>
    <x v="3"/>
    <s v="0779965438"/>
  </r>
  <r>
    <s v="190010540"/>
    <s v="Sirantha Elecrticals"/>
    <x v="1"/>
    <x v="1"/>
    <s v="5227015974"/>
    <d v="2024-11-18T00:00:00"/>
    <n v="11"/>
    <x v="1"/>
    <n v="-309573"/>
    <n v="-309573"/>
    <n v="1"/>
    <x v="3"/>
    <s v="0779965438"/>
  </r>
  <r>
    <s v="190010653"/>
    <s v="New Jagath Motor Spares"/>
    <x v="1"/>
    <x v="1"/>
    <s v="4227143860"/>
    <d v="2020-07-20T00:00:00"/>
    <n v="7"/>
    <x v="3"/>
    <n v="5357"/>
    <n v="5357"/>
    <n v="1583"/>
    <x v="437"/>
    <s v="0112446643"/>
  </r>
  <r>
    <s v="190010672"/>
    <s v="U. S. Motor House (pvt) Ltd"/>
    <x v="1"/>
    <x v="1"/>
    <s v="4227294003"/>
    <d v="2024-08-28T00:00:00"/>
    <n v="8"/>
    <x v="1"/>
    <n v="9209"/>
    <n v="9209"/>
    <n v="83"/>
    <x v="3"/>
    <s v="0112487866"/>
  </r>
  <r>
    <s v="190010672"/>
    <s v="U. S. Motor House (pvt) Ltd"/>
    <x v="1"/>
    <x v="1"/>
    <s v="4227294017"/>
    <d v="2024-08-28T00:00:00"/>
    <n v="8"/>
    <x v="1"/>
    <n v="3776"/>
    <n v="3776"/>
    <n v="83"/>
    <x v="3"/>
    <s v="0112487866"/>
  </r>
  <r>
    <s v="190010672"/>
    <s v="U. S. Motor House (pvt) Ltd"/>
    <x v="1"/>
    <x v="1"/>
    <s v="4227304374"/>
    <d v="2024-10-31T00:00:00"/>
    <n v="10"/>
    <x v="1"/>
    <n v="38837"/>
    <n v="38837"/>
    <n v="19"/>
    <x v="3"/>
    <s v="0112487866"/>
  </r>
  <r>
    <s v="190010672"/>
    <s v="U. S. Motor House (pvt) Ltd"/>
    <x v="1"/>
    <x v="1"/>
    <s v="4227305656"/>
    <d v="2024-11-13T00:00:00"/>
    <n v="11"/>
    <x v="1"/>
    <n v="4531"/>
    <n v="4531"/>
    <n v="6"/>
    <x v="3"/>
    <s v="0112487866"/>
  </r>
  <r>
    <s v="190010814"/>
    <s v="Samitha Electricals"/>
    <x v="1"/>
    <x v="1"/>
    <s v="4227221288"/>
    <d v="2022-09-26T00:00:00"/>
    <n v="9"/>
    <x v="6"/>
    <n v="6728"/>
    <n v="6728"/>
    <n v="785"/>
    <x v="438"/>
    <s v="0771979994"/>
  </r>
  <r>
    <s v="190010827"/>
    <s v="A. S. Auto Spares"/>
    <x v="1"/>
    <x v="1"/>
    <s v="4227227064"/>
    <d v="2022-11-30T00:00:00"/>
    <n v="11"/>
    <x v="6"/>
    <n v="49266"/>
    <n v="49266"/>
    <n v="720"/>
    <x v="439"/>
    <s v="0755764674"/>
  </r>
  <r>
    <s v="190011157"/>
    <s v="Auto Buddy"/>
    <x v="1"/>
    <x v="1"/>
    <s v="159221-CASH"/>
    <d v="2021-07-13T00:00:00"/>
    <n v="7"/>
    <x v="4"/>
    <n v="-253"/>
    <n v="-253"/>
    <n v="1225"/>
    <x v="440"/>
    <s v="0777361615"/>
  </r>
  <r>
    <s v="190011157"/>
    <s v="Auto Buddy"/>
    <x v="1"/>
    <x v="1"/>
    <s v="4227171162"/>
    <d v="2021-03-19T00:00:00"/>
    <n v="3"/>
    <x v="4"/>
    <n v="28944"/>
    <n v="22553"/>
    <n v="1341"/>
    <x v="441"/>
    <s v="0777361615"/>
  </r>
  <r>
    <s v="190011157"/>
    <s v="Auto Buddy"/>
    <x v="1"/>
    <x v="1"/>
    <s v="4227172332"/>
    <d v="2021-03-29T00:00:00"/>
    <n v="3"/>
    <x v="4"/>
    <n v="59396"/>
    <n v="22451"/>
    <n v="1331"/>
    <x v="442"/>
    <s v="0777361615"/>
  </r>
  <r>
    <s v="190011157"/>
    <s v="Auto Buddy"/>
    <x v="1"/>
    <x v="1"/>
    <s v="4227172681"/>
    <d v="2021-04-01T00:00:00"/>
    <n v="4"/>
    <x v="4"/>
    <n v="6714"/>
    <n v="6714"/>
    <n v="1328"/>
    <x v="443"/>
    <s v="0777361615"/>
  </r>
  <r>
    <s v="190011157"/>
    <s v="Auto Buddy"/>
    <x v="1"/>
    <x v="1"/>
    <s v="4227173853"/>
    <d v="2021-04-09T00:00:00"/>
    <n v="4"/>
    <x v="4"/>
    <n v="12139"/>
    <n v="12139"/>
    <n v="1320"/>
    <x v="444"/>
    <s v="0777361615"/>
  </r>
  <r>
    <s v="190011157"/>
    <s v="Auto Buddy"/>
    <x v="1"/>
    <x v="1"/>
    <s v="4227177153"/>
    <d v="2021-05-13T00:00:00"/>
    <n v="5"/>
    <x v="4"/>
    <n v="5249"/>
    <n v="5249"/>
    <n v="1286"/>
    <x v="445"/>
    <s v="0777361615"/>
  </r>
  <r>
    <s v="190011755"/>
    <s v="My Tools Automobile Tech"/>
    <x v="1"/>
    <x v="1"/>
    <s v="4227243344"/>
    <d v="2023-05-31T00:00:00"/>
    <n v="5"/>
    <x v="0"/>
    <n v="5520"/>
    <n v="5520"/>
    <n v="538"/>
    <x v="446"/>
    <s v="0750275477"/>
  </r>
  <r>
    <s v="190011833"/>
    <s v="New A. K. Motors"/>
    <x v="1"/>
    <x v="1"/>
    <s v="4227202960"/>
    <d v="2022-02-14T00:00:00"/>
    <n v="2"/>
    <x v="6"/>
    <n v="21894"/>
    <n v="849"/>
    <n v="1009"/>
    <x v="447"/>
    <s v="0772138211"/>
  </r>
  <r>
    <s v="190011833"/>
    <s v="New A. K. Motors"/>
    <x v="1"/>
    <x v="1"/>
    <s v="4227270905"/>
    <d v="2024-02-13T00:00:00"/>
    <n v="2"/>
    <x v="1"/>
    <n v="64570"/>
    <n v="8043"/>
    <n v="280"/>
    <x v="448"/>
    <s v="0772138211"/>
  </r>
  <r>
    <s v="190011833"/>
    <s v="New A. K. Motors"/>
    <x v="1"/>
    <x v="1"/>
    <s v="4227274850"/>
    <d v="2024-03-18T00:00:00"/>
    <n v="3"/>
    <x v="1"/>
    <n v="11328"/>
    <n v="11328"/>
    <n v="246"/>
    <x v="449"/>
    <s v="0772138211"/>
  </r>
  <r>
    <s v="190011833"/>
    <s v="New A. K. Motors"/>
    <x v="1"/>
    <x v="1"/>
    <s v="4227297694"/>
    <d v="2024-09-26T00:00:00"/>
    <n v="9"/>
    <x v="1"/>
    <n v="13594"/>
    <n v="13594"/>
    <n v="54"/>
    <x v="3"/>
    <s v="0772138211"/>
  </r>
  <r>
    <s v="190011913"/>
    <s v="LEO MOTORS"/>
    <x v="1"/>
    <x v="1"/>
    <s v="4227177681"/>
    <d v="2021-05-25T00:00:00"/>
    <n v="5"/>
    <x v="4"/>
    <n v="33955"/>
    <n v="1266"/>
    <n v="1274"/>
    <x v="450"/>
    <s v="0777558574"/>
  </r>
  <r>
    <s v="190011913"/>
    <s v="LEO MOTORS"/>
    <x v="1"/>
    <x v="1"/>
    <s v="4227294245"/>
    <d v="2024-08-29T00:00:00"/>
    <n v="8"/>
    <x v="1"/>
    <n v="56640"/>
    <n v="56640"/>
    <n v="82"/>
    <x v="3"/>
    <s v="0777558574"/>
  </r>
  <r>
    <s v="190011962"/>
    <s v="Alpha Tec"/>
    <x v="1"/>
    <x v="1"/>
    <s v="4227301290"/>
    <d v="2024-10-19T00:00:00"/>
    <n v="10"/>
    <x v="1"/>
    <n v="5900"/>
    <n v="5900"/>
    <n v="31"/>
    <x v="3"/>
    <s v="0112987411"/>
  </r>
  <r>
    <s v="190011972"/>
    <s v="Samarasekara Vision &amp; Engineering ("/>
    <x v="1"/>
    <x v="1"/>
    <s v="233312"/>
    <d v="2024-08-28T00:00:00"/>
    <n v="8"/>
    <x v="1"/>
    <n v="-50000"/>
    <n v="-18773"/>
    <n v="83"/>
    <x v="3"/>
    <s v="0776261868"/>
  </r>
  <r>
    <s v="190011972"/>
    <s v="Samarasekara Vision &amp; Engineering ("/>
    <x v="1"/>
    <x v="1"/>
    <s v="4227282597"/>
    <d v="2024-05-31T00:00:00"/>
    <n v="5"/>
    <x v="1"/>
    <n v="103693"/>
    <n v="3693"/>
    <n v="172"/>
    <x v="451"/>
    <s v="0776261868"/>
  </r>
  <r>
    <s v="190011972"/>
    <s v="Samarasekara Vision &amp; Engineering ("/>
    <x v="1"/>
    <x v="1"/>
    <s v="4227286010"/>
    <d v="2024-06-30T00:00:00"/>
    <n v="6"/>
    <x v="1"/>
    <n v="198806"/>
    <n v="148806"/>
    <n v="142"/>
    <x v="452"/>
    <s v="0776261868"/>
  </r>
  <r>
    <s v="190011972"/>
    <s v="Samarasekara Vision &amp; Engineering ("/>
    <x v="1"/>
    <x v="1"/>
    <s v="4227286211"/>
    <d v="2024-07-03T00:00:00"/>
    <n v="7"/>
    <x v="1"/>
    <n v="45430"/>
    <n v="0"/>
    <n v="139"/>
    <x v="345"/>
    <s v="0776261868"/>
  </r>
  <r>
    <s v="190011972"/>
    <s v="Samarasekara Vision &amp; Engineering ("/>
    <x v="1"/>
    <x v="1"/>
    <s v="4227294019"/>
    <d v="2024-08-28T00:00:00"/>
    <n v="8"/>
    <x v="1"/>
    <n v="118000"/>
    <n v="118000"/>
    <n v="83"/>
    <x v="3"/>
    <s v="0776261868"/>
  </r>
  <r>
    <s v="190011972"/>
    <s v="Samarasekara Vision &amp; Engineering ("/>
    <x v="1"/>
    <x v="1"/>
    <s v="4227294382"/>
    <d v="2024-08-30T00:00:00"/>
    <n v="8"/>
    <x v="1"/>
    <n v="82954"/>
    <n v="82954"/>
    <n v="81"/>
    <x v="3"/>
    <s v="0776261868"/>
  </r>
  <r>
    <s v="190011972"/>
    <s v="Samarasekara Vision &amp; Engineering ("/>
    <x v="1"/>
    <x v="1"/>
    <s v="4227294792"/>
    <d v="2024-08-31T00:00:00"/>
    <n v="8"/>
    <x v="1"/>
    <n v="82954"/>
    <n v="82954"/>
    <n v="80"/>
    <x v="3"/>
    <s v="0776261868"/>
  </r>
  <r>
    <s v="190011972"/>
    <s v="Samarasekara Vision &amp; Engineering ("/>
    <x v="1"/>
    <x v="1"/>
    <s v="4227296934"/>
    <d v="2024-09-20T00:00:00"/>
    <n v="9"/>
    <x v="1"/>
    <n v="99545"/>
    <n v="99545"/>
    <n v="60"/>
    <x v="3"/>
    <s v="0776261868"/>
  </r>
  <r>
    <s v="190011972"/>
    <s v="Samarasekara Vision &amp; Engineering ("/>
    <x v="1"/>
    <x v="1"/>
    <s v="4227297347"/>
    <d v="2024-09-20T00:00:00"/>
    <n v="9"/>
    <x v="1"/>
    <n v="99545"/>
    <n v="99545"/>
    <n v="60"/>
    <x v="3"/>
    <s v="0776261868"/>
  </r>
  <r>
    <s v="190011972"/>
    <s v="Samarasekara Vision &amp; Engineering ("/>
    <x v="1"/>
    <x v="1"/>
    <s v="4227304041"/>
    <d v="2024-10-31T00:00:00"/>
    <n v="10"/>
    <x v="1"/>
    <n v="62776"/>
    <n v="62776"/>
    <n v="19"/>
    <x v="3"/>
    <s v="0776261868"/>
  </r>
  <r>
    <s v="190011972"/>
    <s v="Samarasekara Vision &amp; Engineering ("/>
    <x v="1"/>
    <x v="1"/>
    <s v="4227304142"/>
    <d v="2024-10-31T00:00:00"/>
    <n v="10"/>
    <x v="1"/>
    <n v="62400"/>
    <n v="62400"/>
    <n v="19"/>
    <x v="3"/>
    <s v="0776261868"/>
  </r>
  <r>
    <s v="190011972"/>
    <s v="Samarasekara Vision &amp; Engineering ("/>
    <x v="1"/>
    <x v="1"/>
    <s v="4227304375"/>
    <d v="2024-10-31T00:00:00"/>
    <n v="10"/>
    <x v="1"/>
    <n v="27527"/>
    <n v="27527"/>
    <n v="19"/>
    <x v="3"/>
    <s v="0776261868"/>
  </r>
  <r>
    <s v="190011972"/>
    <s v="Samarasekara Vision &amp; Engineering ("/>
    <x v="1"/>
    <x v="1"/>
    <s v="4227304376"/>
    <d v="2024-10-31T00:00:00"/>
    <n v="10"/>
    <x v="1"/>
    <n v="50466"/>
    <n v="50466"/>
    <n v="19"/>
    <x v="3"/>
    <s v="0776261868"/>
  </r>
  <r>
    <s v="190012030"/>
    <s v="Sriyani Motor Traders"/>
    <x v="1"/>
    <x v="1"/>
    <s v="4227235854"/>
    <d v="2023-03-10T00:00:00"/>
    <n v="3"/>
    <x v="0"/>
    <n v="3933"/>
    <n v="483"/>
    <n v="620"/>
    <x v="453"/>
    <s v="0774367462"/>
  </r>
  <r>
    <s v="190012030"/>
    <s v="Sriyani Motor Traders"/>
    <x v="1"/>
    <x v="1"/>
    <s v="4227240680"/>
    <d v="2023-05-10T00:00:00"/>
    <n v="5"/>
    <x v="0"/>
    <n v="368"/>
    <n v="368"/>
    <n v="559"/>
    <x v="454"/>
    <s v="0774367462"/>
  </r>
  <r>
    <s v="190012030"/>
    <s v="Sriyani Motor Traders"/>
    <x v="1"/>
    <x v="1"/>
    <s v="4227263219"/>
    <d v="2023-11-30T00:00:00"/>
    <n v="11"/>
    <x v="0"/>
    <n v="67723"/>
    <n v="47723"/>
    <n v="355"/>
    <x v="455"/>
    <s v="0774367462"/>
  </r>
  <r>
    <s v="190012097"/>
    <s v="A to Z Direct"/>
    <x v="1"/>
    <x v="1"/>
    <s v="4227246639"/>
    <d v="2023-07-07T00:00:00"/>
    <n v="7"/>
    <x v="0"/>
    <n v="11213"/>
    <n v="11213"/>
    <n v="501"/>
    <x v="456"/>
    <s v="0773217506"/>
  </r>
  <r>
    <s v="190012097"/>
    <s v="A to Z Direct"/>
    <x v="1"/>
    <x v="1"/>
    <s v="4227246640"/>
    <d v="2023-07-07T00:00:00"/>
    <n v="7"/>
    <x v="0"/>
    <n v="56609"/>
    <n v="56609"/>
    <n v="501"/>
    <x v="457"/>
    <s v="0773217506"/>
  </r>
  <r>
    <s v="190012097"/>
    <s v="A to Z Direct"/>
    <x v="1"/>
    <x v="1"/>
    <s v="4227249267"/>
    <d v="2023-07-31T00:00:00"/>
    <n v="7"/>
    <x v="0"/>
    <n v="24369"/>
    <n v="24369"/>
    <n v="477"/>
    <x v="458"/>
    <s v="0773217506"/>
  </r>
  <r>
    <s v="190012097"/>
    <s v="A to Z Direct"/>
    <x v="1"/>
    <x v="1"/>
    <s v="4227273912"/>
    <d v="2024-03-08T00:00:00"/>
    <n v="3"/>
    <x v="1"/>
    <n v="66458"/>
    <n v="66458"/>
    <n v="256"/>
    <x v="459"/>
    <s v="0773217506"/>
  </r>
  <r>
    <s v="190012097"/>
    <s v="A to Z Direct"/>
    <x v="1"/>
    <x v="1"/>
    <s v="4227273913"/>
    <d v="2024-03-08T00:00:00"/>
    <n v="3"/>
    <x v="1"/>
    <n v="29736"/>
    <n v="29736"/>
    <n v="256"/>
    <x v="157"/>
    <s v="0773217506"/>
  </r>
  <r>
    <s v="190012097"/>
    <s v="A to Z Direct"/>
    <x v="1"/>
    <x v="1"/>
    <s v="4227274013"/>
    <d v="2024-03-09T00:00:00"/>
    <n v="3"/>
    <x v="1"/>
    <n v="4500"/>
    <n v="4500"/>
    <n v="255"/>
    <x v="460"/>
    <s v="0773217506"/>
  </r>
  <r>
    <s v="190012097"/>
    <s v="A to Z Direct"/>
    <x v="1"/>
    <x v="1"/>
    <s v="4227276574"/>
    <d v="2024-03-28T00:00:00"/>
    <n v="3"/>
    <x v="1"/>
    <n v="49590"/>
    <n v="49590"/>
    <n v="236"/>
    <x v="461"/>
    <s v="0773217506"/>
  </r>
  <r>
    <s v="190012097"/>
    <s v="A to Z Direct"/>
    <x v="1"/>
    <x v="1"/>
    <s v="4227276575"/>
    <d v="2024-03-28T00:00:00"/>
    <n v="3"/>
    <x v="1"/>
    <n v="212400"/>
    <n v="212400"/>
    <n v="236"/>
    <x v="462"/>
    <s v="0773217506"/>
  </r>
  <r>
    <s v="190012097"/>
    <s v="A to Z Direct"/>
    <x v="1"/>
    <x v="1"/>
    <s v="4227279304"/>
    <d v="2024-05-04T00:00:00"/>
    <n v="5"/>
    <x v="1"/>
    <n v="4366"/>
    <n v="4366"/>
    <n v="199"/>
    <x v="463"/>
    <s v="0773217506"/>
  </r>
  <r>
    <s v="190012209"/>
    <s v="Madhu Enterprises"/>
    <x v="1"/>
    <x v="1"/>
    <s v="4227291126"/>
    <d v="2024-08-06T00:00:00"/>
    <n v="8"/>
    <x v="1"/>
    <n v="113280"/>
    <n v="113280"/>
    <n v="105"/>
    <x v="348"/>
    <s v="0112157055"/>
  </r>
  <r>
    <s v="190012255"/>
    <s v="Sinek Auto Company (Pvt) Ltd"/>
    <x v="1"/>
    <x v="1"/>
    <s v="4227249306"/>
    <d v="2023-07-31T00:00:00"/>
    <n v="7"/>
    <x v="0"/>
    <n v="159333"/>
    <n v="159333"/>
    <n v="477"/>
    <x v="464"/>
    <s v="0773166038"/>
  </r>
  <r>
    <s v="190012405"/>
    <s v="Auto 4 Accessories"/>
    <x v="1"/>
    <x v="1"/>
    <s v="RTN CHQ 675769"/>
    <d v="2024-03-20T00:00:00"/>
    <n v="3"/>
    <x v="1"/>
    <n v="210000"/>
    <n v="185000"/>
    <n v="244"/>
    <x v="465"/>
    <s v="0112680865"/>
  </r>
  <r>
    <s v="190012405"/>
    <s v="Auto 4 Accessories"/>
    <x v="1"/>
    <x v="1"/>
    <s v="RTN CHQ 675770"/>
    <d v="2024-04-01T00:00:00"/>
    <n v="4"/>
    <x v="1"/>
    <n v="217417"/>
    <n v="217417"/>
    <n v="232"/>
    <x v="466"/>
    <s v="0112680865"/>
  </r>
  <r>
    <s v="190012405"/>
    <s v="Auto 4 Accessories"/>
    <x v="1"/>
    <x v="1"/>
    <s v="219328 / 675770"/>
    <d v="2024-03-30T00:00:00"/>
    <n v="3"/>
    <x v="1"/>
    <n v="-135134"/>
    <n v="-135134"/>
    <n v="234"/>
    <x v="467"/>
    <s v="0112680865"/>
  </r>
  <r>
    <s v="190012405"/>
    <s v="Auto 4 Accessories"/>
    <x v="1"/>
    <x v="1"/>
    <s v="4227239938"/>
    <d v="2023-04-28T00:00:00"/>
    <n v="4"/>
    <x v="0"/>
    <n v="109710"/>
    <n v="42943"/>
    <n v="571"/>
    <x v="468"/>
    <s v="0112680865"/>
  </r>
  <r>
    <s v="190012452"/>
    <s v="Clean Tech Super Care"/>
    <x v="1"/>
    <x v="1"/>
    <s v="236162 / 000383"/>
    <d v="2024-09-30T00:00:00"/>
    <n v="9"/>
    <x v="1"/>
    <n v="-43885"/>
    <n v="-43885"/>
    <n v="50"/>
    <x v="3"/>
    <s v="0718424135"/>
  </r>
  <r>
    <s v="190012452"/>
    <s v="Clean Tech Super Care"/>
    <x v="1"/>
    <x v="1"/>
    <s v="4227281862"/>
    <d v="2024-05-29T00:00:00"/>
    <n v="5"/>
    <x v="1"/>
    <n v="43885"/>
    <n v="43885"/>
    <n v="174"/>
    <x v="469"/>
    <s v="0718424135"/>
  </r>
  <r>
    <s v="190012452"/>
    <s v="Clean Tech Super Care"/>
    <x v="1"/>
    <x v="1"/>
    <s v="4227281863"/>
    <d v="2024-05-29T00:00:00"/>
    <n v="5"/>
    <x v="1"/>
    <n v="47365"/>
    <n v="47365"/>
    <n v="174"/>
    <x v="470"/>
    <s v="0718424135"/>
  </r>
  <r>
    <s v="190012452"/>
    <s v="Clean Tech Super Care"/>
    <x v="1"/>
    <x v="1"/>
    <s v="4227289546"/>
    <d v="2024-07-29T00:00:00"/>
    <n v="7"/>
    <x v="1"/>
    <n v="12443"/>
    <n v="12443"/>
    <n v="113"/>
    <x v="471"/>
    <s v="0718424135"/>
  </r>
  <r>
    <s v="190012452"/>
    <s v="Clean Tech Super Care"/>
    <x v="1"/>
    <x v="1"/>
    <s v="4227294010"/>
    <d v="2024-08-28T00:00:00"/>
    <n v="8"/>
    <x v="1"/>
    <n v="12443"/>
    <n v="12443"/>
    <n v="83"/>
    <x v="3"/>
    <s v="0718424135"/>
  </r>
  <r>
    <s v="190012452"/>
    <s v="Clean Tech Super Care"/>
    <x v="1"/>
    <x v="1"/>
    <s v="4227294251"/>
    <d v="2024-08-29T00:00:00"/>
    <n v="8"/>
    <x v="1"/>
    <n v="12443"/>
    <n v="12443"/>
    <n v="82"/>
    <x v="3"/>
    <s v="0718424135"/>
  </r>
  <r>
    <s v="190012452"/>
    <s v="Clean Tech Super Care"/>
    <x v="1"/>
    <x v="1"/>
    <s v="4227294288"/>
    <d v="2024-08-29T00:00:00"/>
    <n v="8"/>
    <x v="1"/>
    <n v="55054"/>
    <n v="55054"/>
    <n v="82"/>
    <x v="3"/>
    <s v="0718424135"/>
  </r>
  <r>
    <s v="190012484"/>
    <s v="Thisara Motors"/>
    <x v="1"/>
    <x v="1"/>
    <s v="4227201476"/>
    <d v="2022-01-29T00:00:00"/>
    <n v="1"/>
    <x v="6"/>
    <n v="45912"/>
    <n v="19912"/>
    <n v="1025"/>
    <x v="472"/>
    <s v="0775095071"/>
  </r>
  <r>
    <s v="190012655"/>
    <s v="Niya Zone"/>
    <x v="1"/>
    <x v="1"/>
    <s v="4227219698"/>
    <d v="2022-09-09T00:00:00"/>
    <n v="9"/>
    <x v="6"/>
    <n v="78298"/>
    <n v="39998"/>
    <n v="802"/>
    <x v="473"/>
    <s v="0774706322"/>
  </r>
  <r>
    <s v="190012811"/>
    <s v="Venus Autombile Engineering"/>
    <x v="1"/>
    <x v="1"/>
    <s v="4227269496"/>
    <d v="2024-01-30T00:00:00"/>
    <n v="1"/>
    <x v="1"/>
    <n v="106342"/>
    <n v="106342"/>
    <n v="294"/>
    <x v="474"/>
    <s v="0770202156"/>
  </r>
  <r>
    <s v="190012811"/>
    <s v="Venus Autombile Engineering"/>
    <x v="1"/>
    <x v="1"/>
    <s v="5227015979"/>
    <d v="2024-11-18T00:00:00"/>
    <n v="11"/>
    <x v="1"/>
    <n v="-32285"/>
    <n v="-32285"/>
    <n v="1"/>
    <x v="3"/>
    <s v="0770202156"/>
  </r>
  <r>
    <s v="190012841"/>
    <s v="New Unique Lanka"/>
    <x v="1"/>
    <x v="1"/>
    <s v="4227237639"/>
    <d v="2023-03-29T00:00:00"/>
    <n v="3"/>
    <x v="0"/>
    <n v="26089"/>
    <n v="15089"/>
    <n v="601"/>
    <x v="475"/>
    <s v="0777048709"/>
  </r>
  <r>
    <s v="190012841"/>
    <s v="New Unique Lanka"/>
    <x v="1"/>
    <x v="1"/>
    <s v="4227240012"/>
    <d v="2023-04-29T00:00:00"/>
    <n v="4"/>
    <x v="0"/>
    <n v="85025"/>
    <n v="5485"/>
    <n v="570"/>
    <x v="476"/>
    <s v="0777048709"/>
  </r>
  <r>
    <s v="190012850"/>
    <s v="Colombo Motors"/>
    <x v="1"/>
    <x v="1"/>
    <s v="4227241699"/>
    <d v="2023-05-18T00:00:00"/>
    <n v="5"/>
    <x v="0"/>
    <n v="24254"/>
    <n v="24254"/>
    <n v="551"/>
    <x v="477"/>
    <s v="0767972212"/>
  </r>
  <r>
    <s v="190012850"/>
    <s v="Colombo Motors"/>
    <x v="1"/>
    <x v="1"/>
    <s v="4227243329"/>
    <d v="2023-05-31T00:00:00"/>
    <n v="5"/>
    <x v="0"/>
    <n v="110400"/>
    <n v="20200"/>
    <n v="538"/>
    <x v="478"/>
    <s v="0767972212"/>
  </r>
  <r>
    <s v="190012967"/>
    <s v="Sagara Auto Care Service"/>
    <x v="1"/>
    <x v="1"/>
    <s v="4227268214"/>
    <d v="2024-01-19T00:00:00"/>
    <n v="1"/>
    <x v="1"/>
    <n v="7434"/>
    <n v="6364"/>
    <n v="305"/>
    <x v="479"/>
    <s v="0777226209"/>
  </r>
  <r>
    <s v="190012967"/>
    <s v="Sagara Auto Care Service"/>
    <x v="1"/>
    <x v="1"/>
    <s v="4227273005"/>
    <d v="2024-02-29T00:00:00"/>
    <n v="2"/>
    <x v="1"/>
    <n v="68251"/>
    <n v="68251"/>
    <n v="264"/>
    <x v="480"/>
    <s v="0777226209"/>
  </r>
  <r>
    <s v="190012967"/>
    <s v="Sagara Auto Care Service"/>
    <x v="1"/>
    <x v="1"/>
    <s v="4227273914"/>
    <d v="2024-03-08T00:00:00"/>
    <n v="3"/>
    <x v="1"/>
    <n v="29736"/>
    <n v="1536"/>
    <n v="256"/>
    <x v="481"/>
    <s v="0777226209"/>
  </r>
  <r>
    <s v="190012967"/>
    <s v="Sagara Auto Care Service"/>
    <x v="1"/>
    <x v="1"/>
    <s v="4227281486"/>
    <d v="2024-05-27T00:00:00"/>
    <n v="5"/>
    <x v="1"/>
    <n v="19895"/>
    <n v="19895"/>
    <n v="176"/>
    <x v="482"/>
    <s v="0777226209"/>
  </r>
  <r>
    <s v="190012967"/>
    <s v="Sagara Auto Care Service"/>
    <x v="1"/>
    <x v="1"/>
    <s v="4227290717"/>
    <d v="2024-07-31T00:00:00"/>
    <n v="7"/>
    <x v="1"/>
    <n v="30545"/>
    <n v="30545"/>
    <n v="111"/>
    <x v="483"/>
    <s v="0777226209"/>
  </r>
  <r>
    <s v="190012967"/>
    <s v="Sagara Auto Care Service"/>
    <x v="1"/>
    <x v="1"/>
    <s v="5227015980"/>
    <d v="2024-11-18T00:00:00"/>
    <n v="11"/>
    <x v="1"/>
    <n v="-72657"/>
    <n v="-72657"/>
    <n v="1"/>
    <x v="3"/>
    <s v="0777226209"/>
  </r>
  <r>
    <s v="190013110"/>
    <s v="Tergo Auto Care"/>
    <x v="1"/>
    <x v="1"/>
    <s v="4227220538"/>
    <d v="2022-09-19T00:00:00"/>
    <n v="9"/>
    <x v="6"/>
    <n v="163501"/>
    <n v="105700.25"/>
    <n v="792"/>
    <x v="484"/>
    <s v="0112366333"/>
  </r>
  <r>
    <s v="190013110"/>
    <s v="Tergo Auto Care"/>
    <x v="1"/>
    <x v="1"/>
    <s v="4227297001"/>
    <d v="2024-09-20T00:00:00"/>
    <n v="9"/>
    <x v="1"/>
    <n v="39247"/>
    <n v="39247"/>
    <n v="60"/>
    <x v="3"/>
    <s v="0112366333"/>
  </r>
  <r>
    <s v="190013110"/>
    <s v="Tergo Auto Care"/>
    <x v="1"/>
    <x v="1"/>
    <s v="4227297927"/>
    <d v="2024-09-26T00:00:00"/>
    <n v="9"/>
    <x v="1"/>
    <n v="8295"/>
    <n v="8295"/>
    <n v="54"/>
    <x v="3"/>
    <s v="0112366333"/>
  </r>
  <r>
    <s v="190013235"/>
    <s v="Auto Papa"/>
    <x v="1"/>
    <x v="1"/>
    <s v="4227226534"/>
    <d v="2022-11-28T00:00:00"/>
    <n v="11"/>
    <x v="6"/>
    <n v="7538"/>
    <n v="1506"/>
    <n v="722"/>
    <x v="485"/>
    <s v="0777274298"/>
  </r>
  <r>
    <s v="190013306"/>
    <s v="Sanath Jude Motors"/>
    <x v="1"/>
    <x v="1"/>
    <s v="4227238155"/>
    <d v="2023-03-31T00:00:00"/>
    <n v="3"/>
    <x v="0"/>
    <n v="57500"/>
    <n v="57500"/>
    <n v="599"/>
    <x v="486"/>
    <s v="0773458728"/>
  </r>
  <r>
    <s v="190013390"/>
    <s v="Manjula Motor Stores,"/>
    <x v="1"/>
    <x v="1"/>
    <s v="4227238112"/>
    <d v="2023-03-31T00:00:00"/>
    <n v="3"/>
    <x v="0"/>
    <n v="38240"/>
    <n v="540"/>
    <n v="599"/>
    <x v="487"/>
    <s v="0112444593"/>
  </r>
  <r>
    <s v="190013390"/>
    <s v="Manjula Motor Stores,"/>
    <x v="1"/>
    <x v="1"/>
    <s v="4227295116"/>
    <d v="2024-08-31T00:00:00"/>
    <n v="8"/>
    <x v="1"/>
    <n v="10209"/>
    <n v="10209"/>
    <n v="80"/>
    <x v="3"/>
    <s v="0112444593"/>
  </r>
  <r>
    <s v="190013393"/>
    <s v="Auto Modish"/>
    <x v="1"/>
    <x v="1"/>
    <s v="4227245166"/>
    <d v="2023-06-22T00:00:00"/>
    <n v="6"/>
    <x v="0"/>
    <n v="35699"/>
    <n v="35699"/>
    <n v="516"/>
    <x v="488"/>
    <s v="0771616026"/>
  </r>
  <r>
    <s v="190013477"/>
    <s v="Rukmal Auto Mobile"/>
    <x v="1"/>
    <x v="1"/>
    <s v="4227236564"/>
    <d v="2023-03-20T00:00:00"/>
    <n v="3"/>
    <x v="0"/>
    <n v="9101"/>
    <n v="9101"/>
    <n v="610"/>
    <x v="489"/>
    <s v="0778198967"/>
  </r>
  <r>
    <s v="190013479"/>
    <s v="Eco Vision"/>
    <x v="1"/>
    <x v="1"/>
    <s v="230106"/>
    <d v="2024-07-25T00:00:00"/>
    <n v="7"/>
    <x v="1"/>
    <n v="-18200"/>
    <n v="-18200"/>
    <n v="117"/>
    <x v="490"/>
    <s v="0772572716"/>
  </r>
  <r>
    <s v="190013479"/>
    <s v="Eco Vision"/>
    <x v="1"/>
    <x v="1"/>
    <s v="4227276583"/>
    <d v="2024-03-28T00:00:00"/>
    <n v="3"/>
    <x v="1"/>
    <n v="141246"/>
    <n v="77103"/>
    <n v="236"/>
    <x v="491"/>
    <s v="0772572716"/>
  </r>
  <r>
    <s v="190013479"/>
    <s v="Eco Vision"/>
    <x v="1"/>
    <x v="1"/>
    <s v="4227301769"/>
    <d v="2024-10-22T00:00:00"/>
    <n v="10"/>
    <x v="1"/>
    <n v="11328"/>
    <n v="11328"/>
    <n v="28"/>
    <x v="3"/>
    <s v="0772572716"/>
  </r>
  <r>
    <s v="190013479"/>
    <s v="Eco Vision"/>
    <x v="1"/>
    <x v="1"/>
    <s v="4227303177"/>
    <d v="2024-10-30T00:00:00"/>
    <n v="10"/>
    <x v="1"/>
    <n v="42480"/>
    <n v="42480"/>
    <n v="20"/>
    <x v="3"/>
    <s v="0772572716"/>
  </r>
  <r>
    <s v="190013479"/>
    <s v="Eco Vision"/>
    <x v="1"/>
    <x v="1"/>
    <s v="4227303178"/>
    <d v="2024-10-30T00:00:00"/>
    <n v="10"/>
    <x v="1"/>
    <n v="38232"/>
    <n v="38232"/>
    <n v="20"/>
    <x v="3"/>
    <s v="0772572716"/>
  </r>
  <r>
    <s v="190013479"/>
    <s v="Eco Vision"/>
    <x v="1"/>
    <x v="1"/>
    <s v="5227015982"/>
    <d v="2024-11-18T00:00:00"/>
    <n v="11"/>
    <x v="1"/>
    <n v="-59472"/>
    <n v="-59472"/>
    <n v="1"/>
    <x v="3"/>
    <s v="0772572716"/>
  </r>
  <r>
    <s v="190013844"/>
    <s v="Power Oil Mart And Life Line It Sol"/>
    <x v="1"/>
    <x v="1"/>
    <s v="4227297721"/>
    <d v="2024-09-26T00:00:00"/>
    <n v="9"/>
    <x v="1"/>
    <n v="24886"/>
    <n v="7156"/>
    <n v="54"/>
    <x v="3"/>
    <s v="0770417471"/>
  </r>
  <r>
    <s v="190013864"/>
    <s v="M N Ref Engineers"/>
    <x v="1"/>
    <x v="1"/>
    <s v="4227252156"/>
    <d v="2023-08-29T00:00:00"/>
    <n v="8"/>
    <x v="0"/>
    <n v="12549"/>
    <n v="627"/>
    <n v="448"/>
    <x v="492"/>
    <s v="0114853175"/>
  </r>
  <r>
    <s v="190013864"/>
    <s v="M N Ref Engineers"/>
    <x v="1"/>
    <x v="1"/>
    <s v="4227293540"/>
    <d v="2024-08-26T00:00:00"/>
    <n v="8"/>
    <x v="1"/>
    <n v="8384"/>
    <n v="8384"/>
    <n v="85"/>
    <x v="3"/>
    <s v="0114853175"/>
  </r>
  <r>
    <s v="190013865"/>
    <s v="S. S. Motor Works (Pvt) Ltd"/>
    <x v="1"/>
    <x v="1"/>
    <s v="4227258355"/>
    <d v="2023-10-17T00:00:00"/>
    <n v="10"/>
    <x v="0"/>
    <n v="7475"/>
    <n v="5000"/>
    <n v="399"/>
    <x v="493"/>
    <s v="0761764661"/>
  </r>
  <r>
    <s v="190013865"/>
    <s v="S. S. Motor Works (Pvt) Ltd"/>
    <x v="1"/>
    <x v="1"/>
    <s v="4227259775"/>
    <d v="2023-10-31T00:00:00"/>
    <n v="10"/>
    <x v="0"/>
    <n v="9775"/>
    <n v="4775"/>
    <n v="385"/>
    <x v="494"/>
    <s v="0761764661"/>
  </r>
  <r>
    <s v="190013865"/>
    <s v="S. S. Motor Works (Pvt) Ltd"/>
    <x v="1"/>
    <x v="1"/>
    <s v="4227268049"/>
    <d v="2024-01-17T00:00:00"/>
    <n v="1"/>
    <x v="1"/>
    <n v="696200"/>
    <n v="200"/>
    <n v="307"/>
    <x v="383"/>
    <s v="0761764661"/>
  </r>
  <r>
    <s v="190013865"/>
    <s v="S. S. Motor Works (Pvt) Ltd"/>
    <x v="1"/>
    <x v="1"/>
    <s v="4227268680"/>
    <d v="2024-01-24T00:00:00"/>
    <n v="1"/>
    <x v="1"/>
    <n v="56050"/>
    <n v="56050"/>
    <n v="300"/>
    <x v="495"/>
    <s v="0761764661"/>
  </r>
  <r>
    <s v="190013865"/>
    <s v="S. S. Motor Works (Pvt) Ltd"/>
    <x v="1"/>
    <x v="1"/>
    <s v="4227292859"/>
    <d v="2024-08-21T00:00:00"/>
    <n v="8"/>
    <x v="1"/>
    <n v="2651"/>
    <n v="2651"/>
    <n v="90"/>
    <x v="496"/>
    <s v="0761764661"/>
  </r>
  <r>
    <s v="190013865"/>
    <s v="S. S. Motor Works (Pvt) Ltd"/>
    <x v="1"/>
    <x v="1"/>
    <s v="4227292925"/>
    <d v="2024-08-21T00:00:00"/>
    <n v="8"/>
    <x v="1"/>
    <n v="342"/>
    <n v="342"/>
    <n v="90"/>
    <x v="497"/>
    <s v="0761764661"/>
  </r>
  <r>
    <s v="190014057"/>
    <s v="The Car Clinic"/>
    <x v="1"/>
    <x v="1"/>
    <s v="209330"/>
    <d v="2023-10-12T00:00:00"/>
    <n v="10"/>
    <x v="0"/>
    <n v="-101"/>
    <n v="-101"/>
    <n v="404"/>
    <x v="498"/>
    <s v="0713133390"/>
  </r>
  <r>
    <s v="190014057"/>
    <s v="The Car Clinic"/>
    <x v="1"/>
    <x v="1"/>
    <s v="4227298626"/>
    <d v="2024-09-30T00:00:00"/>
    <n v="9"/>
    <x v="1"/>
    <n v="5900"/>
    <n v="5900"/>
    <n v="50"/>
    <x v="3"/>
    <s v="0713133390"/>
  </r>
  <r>
    <s v="190014093"/>
    <s v="Gamlath Motors"/>
    <x v="1"/>
    <x v="1"/>
    <s v="4227256071"/>
    <d v="2023-09-27T00:00:00"/>
    <n v="9"/>
    <x v="0"/>
    <n v="5997"/>
    <n v="997"/>
    <n v="419"/>
    <x v="499"/>
    <s v="0713157139"/>
  </r>
  <r>
    <s v="190014215"/>
    <s v="Colvin Perera Consolidated (Pvt) Lt"/>
    <x v="1"/>
    <x v="1"/>
    <s v="4227263453"/>
    <d v="2023-11-30T00:00:00"/>
    <n v="11"/>
    <x v="0"/>
    <n v="31464"/>
    <n v="31464"/>
    <n v="355"/>
    <x v="500"/>
    <s v="0714214600"/>
  </r>
  <r>
    <s v="190014249"/>
    <s v="Enoka Enterprises"/>
    <x v="1"/>
    <x v="1"/>
    <s v="4227265394"/>
    <d v="2023-12-22T00:00:00"/>
    <n v="12"/>
    <x v="0"/>
    <n v="12248"/>
    <n v="12248"/>
    <n v="333"/>
    <x v="501"/>
    <s v="0112441376"/>
  </r>
  <r>
    <s v="190014297"/>
    <s v="New Quick Pro,"/>
    <x v="1"/>
    <x v="1"/>
    <s v="4227298196"/>
    <d v="2024-09-28T00:00:00"/>
    <n v="9"/>
    <x v="1"/>
    <n v="17464"/>
    <n v="68"/>
    <n v="52"/>
    <x v="3"/>
    <s v="0712375827"/>
  </r>
  <r>
    <s v="190014297"/>
    <s v="New Quick Pro,"/>
    <x v="1"/>
    <x v="1"/>
    <s v="4227301377"/>
    <d v="2024-10-21T00:00:00"/>
    <n v="10"/>
    <x v="1"/>
    <n v="8295"/>
    <n v="8295"/>
    <n v="29"/>
    <x v="3"/>
    <s v="0712375827"/>
  </r>
  <r>
    <s v="190014297"/>
    <s v="New Quick Pro,"/>
    <x v="1"/>
    <x v="1"/>
    <s v="4227301435"/>
    <d v="2024-10-21T00:00:00"/>
    <n v="10"/>
    <x v="1"/>
    <n v="26550"/>
    <n v="26550"/>
    <n v="29"/>
    <x v="3"/>
    <s v="0712375827"/>
  </r>
  <r>
    <s v="190014303"/>
    <s v="Jayalanka Motors"/>
    <x v="1"/>
    <x v="1"/>
    <s v="4227301169"/>
    <d v="2024-10-18T00:00:00"/>
    <n v="10"/>
    <x v="1"/>
    <n v="6490"/>
    <n v="6490"/>
    <n v="32"/>
    <x v="3"/>
    <s v="0722036072"/>
  </r>
  <r>
    <s v="190014308"/>
    <s v="Auto Diag Solutions (Pvt) Ltd"/>
    <x v="1"/>
    <x v="1"/>
    <s v="4227299015"/>
    <d v="2024-09-30T00:00:00"/>
    <n v="9"/>
    <x v="1"/>
    <n v="46728"/>
    <n v="46728"/>
    <n v="50"/>
    <x v="3"/>
    <s v="0774829329"/>
  </r>
  <r>
    <s v="190014308"/>
    <s v="Auto Diag Solutions (Pvt) Ltd"/>
    <x v="1"/>
    <x v="1"/>
    <s v="4227304377"/>
    <d v="2024-10-31T00:00:00"/>
    <n v="10"/>
    <x v="1"/>
    <n v="27527"/>
    <n v="27527"/>
    <n v="19"/>
    <x v="3"/>
    <s v="0774829329"/>
  </r>
  <r>
    <s v="190014394"/>
    <s v="Gayan'S Car Care"/>
    <x v="1"/>
    <x v="1"/>
    <s v="4227281931"/>
    <d v="2024-05-29T00:00:00"/>
    <n v="5"/>
    <x v="1"/>
    <n v="57518"/>
    <n v="1002"/>
    <n v="174"/>
    <x v="502"/>
    <s v="0712424244"/>
  </r>
  <r>
    <s v="190014394"/>
    <s v="Gayan'S Car Care"/>
    <x v="1"/>
    <x v="1"/>
    <s v="4227290721"/>
    <d v="2024-07-31T00:00:00"/>
    <n v="7"/>
    <x v="1"/>
    <n v="100005"/>
    <n v="-17855"/>
    <n v="111"/>
    <x v="503"/>
    <s v="0712424244"/>
  </r>
  <r>
    <s v="190014394"/>
    <s v="Gayan'S Car Care"/>
    <x v="1"/>
    <x v="1"/>
    <s v="4227302780"/>
    <d v="2024-10-28T00:00:00"/>
    <n v="10"/>
    <x v="1"/>
    <n v="12443"/>
    <n v="12443"/>
    <n v="22"/>
    <x v="3"/>
    <s v="0712424244"/>
  </r>
  <r>
    <s v="190014394"/>
    <s v="Gayan'S Car Care"/>
    <x v="1"/>
    <x v="1"/>
    <s v="4227303185"/>
    <d v="2024-10-30T00:00:00"/>
    <n v="10"/>
    <x v="1"/>
    <n v="28084"/>
    <n v="28084"/>
    <n v="20"/>
    <x v="3"/>
    <s v="0712424244"/>
  </r>
  <r>
    <s v="190014404"/>
    <s v="Auto Sense Holdings (Pvt) Ltd"/>
    <x v="1"/>
    <x v="1"/>
    <s v="4227282631"/>
    <d v="2024-05-31T00:00:00"/>
    <n v="5"/>
    <x v="1"/>
    <n v="69620"/>
    <n v="69620"/>
    <n v="172"/>
    <x v="504"/>
    <s v="0776547522"/>
  </r>
  <r>
    <s v="190014446"/>
    <s v="Asanka Motors"/>
    <x v="1"/>
    <x v="1"/>
    <s v="216383"/>
    <d v="2024-01-24T00:00:00"/>
    <n v="1"/>
    <x v="1"/>
    <n v="-10000"/>
    <n v="-10000"/>
    <n v="300"/>
    <x v="505"/>
    <s v="0712884329"/>
  </r>
  <r>
    <s v="190014446"/>
    <s v="Asanka Motors"/>
    <x v="1"/>
    <x v="1"/>
    <s v="4227274536"/>
    <d v="2024-03-14T00:00:00"/>
    <n v="3"/>
    <x v="1"/>
    <n v="14900"/>
    <n v="9900"/>
    <n v="250"/>
    <x v="506"/>
    <s v="0712884329"/>
  </r>
  <r>
    <s v="190014446"/>
    <s v="Asanka Motors"/>
    <x v="1"/>
    <x v="1"/>
    <s v="4227275164"/>
    <d v="2024-03-20T00:00:00"/>
    <n v="3"/>
    <x v="1"/>
    <n v="991"/>
    <n v="991"/>
    <n v="244"/>
    <x v="507"/>
    <s v="0712884329"/>
  </r>
  <r>
    <s v="190014446"/>
    <s v="Asanka Motors"/>
    <x v="1"/>
    <x v="1"/>
    <s v="4227285760"/>
    <d v="2024-06-29T00:00:00"/>
    <n v="6"/>
    <x v="1"/>
    <n v="82600"/>
    <n v="32600"/>
    <n v="143"/>
    <x v="508"/>
    <s v="0712884329"/>
  </r>
  <r>
    <s v="190014468"/>
    <s v="Halcon Distributors (Pvt) Ltd."/>
    <x v="1"/>
    <x v="1"/>
    <s v="4227274776"/>
    <d v="2024-03-18T00:00:00"/>
    <n v="3"/>
    <x v="1"/>
    <n v="85183"/>
    <n v="65063"/>
    <n v="246"/>
    <x v="509"/>
    <s v="0711414036"/>
  </r>
  <r>
    <s v="190014468"/>
    <s v="Halcon Distributors (Pvt) Ltd."/>
    <x v="1"/>
    <x v="1"/>
    <s v="4227279106"/>
    <d v="2024-05-03T00:00:00"/>
    <n v="5"/>
    <x v="1"/>
    <n v="17464"/>
    <n v="17464"/>
    <n v="200"/>
    <x v="510"/>
    <s v="0711414036"/>
  </r>
  <r>
    <s v="190014468"/>
    <s v="Halcon Distributors (Pvt) Ltd."/>
    <x v="1"/>
    <x v="1"/>
    <s v="4227293830"/>
    <d v="2024-08-27T00:00:00"/>
    <n v="8"/>
    <x v="1"/>
    <n v="40073"/>
    <n v="40073"/>
    <n v="84"/>
    <x v="3"/>
    <s v="0711414036"/>
  </r>
  <r>
    <s v="190014468"/>
    <s v="Halcon Distributors (Pvt) Ltd."/>
    <x v="1"/>
    <x v="1"/>
    <s v="5227015988"/>
    <d v="2024-11-18T00:00:00"/>
    <n v="11"/>
    <x v="1"/>
    <n v="-19498"/>
    <n v="-19498"/>
    <n v="1"/>
    <x v="3"/>
    <s v="0711414036"/>
  </r>
  <r>
    <s v="190014565"/>
    <s v="Upul U S Automobile (Pvt) Ltd"/>
    <x v="1"/>
    <x v="1"/>
    <s v="4227285236"/>
    <d v="2024-06-28T00:00:00"/>
    <n v="6"/>
    <x v="1"/>
    <n v="97940"/>
    <n v="64900"/>
    <n v="144"/>
    <x v="347"/>
    <s v="0703536132"/>
  </r>
  <r>
    <s v="190014565"/>
    <s v="Upul U S Automobile (Pvt) Ltd"/>
    <x v="1"/>
    <x v="1"/>
    <s v="4227285237"/>
    <d v="2024-06-28T00:00:00"/>
    <n v="6"/>
    <x v="1"/>
    <n v="182900"/>
    <n v="182900"/>
    <n v="144"/>
    <x v="511"/>
    <s v="0703536132"/>
  </r>
  <r>
    <s v="190014565"/>
    <s v="Upul U S Automobile (Pvt) Ltd"/>
    <x v="1"/>
    <x v="1"/>
    <s v="4227287073"/>
    <d v="2024-07-12T00:00:00"/>
    <n v="7"/>
    <x v="1"/>
    <n v="97704"/>
    <n v="36639"/>
    <n v="130"/>
    <x v="512"/>
    <s v="0703536132"/>
  </r>
  <r>
    <s v="190014619"/>
    <s v="J. I. P. S Motors"/>
    <x v="1"/>
    <x v="1"/>
    <s v="4227278768"/>
    <d v="2024-04-30T00:00:00"/>
    <n v="4"/>
    <x v="1"/>
    <n v="324954"/>
    <n v="50000"/>
    <n v="203"/>
    <x v="38"/>
    <s v="0716082064"/>
  </r>
  <r>
    <s v="190014619"/>
    <s v="J. I. P. S Motors"/>
    <x v="1"/>
    <x v="1"/>
    <s v="4227278863"/>
    <d v="2024-04-30T00:00:00"/>
    <n v="4"/>
    <x v="1"/>
    <n v="17346"/>
    <n v="17346"/>
    <n v="203"/>
    <x v="513"/>
    <s v="0716082064"/>
  </r>
  <r>
    <s v="190014619"/>
    <s v="J. I. P. S Motors"/>
    <x v="1"/>
    <x v="1"/>
    <s v="4227279929"/>
    <d v="2024-05-09T00:00:00"/>
    <n v="5"/>
    <x v="1"/>
    <n v="54251"/>
    <n v="54251"/>
    <n v="194"/>
    <x v="514"/>
    <s v="0716082064"/>
  </r>
  <r>
    <s v="190014619"/>
    <s v="J. I. P. S Motors"/>
    <x v="1"/>
    <x v="1"/>
    <s v="4227279967"/>
    <d v="2024-05-09T00:00:00"/>
    <n v="5"/>
    <x v="1"/>
    <n v="79414"/>
    <n v="64411"/>
    <n v="194"/>
    <x v="515"/>
    <s v="0716082064"/>
  </r>
  <r>
    <s v="190014619"/>
    <s v="J. I. P. S Motors"/>
    <x v="1"/>
    <x v="1"/>
    <s v="4227293989"/>
    <d v="2024-08-28T00:00:00"/>
    <n v="8"/>
    <x v="1"/>
    <n v="165206"/>
    <n v="165206"/>
    <n v="83"/>
    <x v="3"/>
    <s v="0716082064"/>
  </r>
  <r>
    <s v="190014619"/>
    <s v="J. I. P. S Motors"/>
    <x v="1"/>
    <x v="1"/>
    <s v="4227294797"/>
    <d v="2024-08-31T00:00:00"/>
    <n v="8"/>
    <x v="1"/>
    <n v="23187"/>
    <n v="23187"/>
    <n v="80"/>
    <x v="3"/>
    <s v="0716082064"/>
  </r>
  <r>
    <s v="190014619"/>
    <s v="J. I. P. S Motors"/>
    <x v="1"/>
    <x v="1"/>
    <s v="5227015989"/>
    <d v="2024-11-18T00:00:00"/>
    <n v="11"/>
    <x v="1"/>
    <n v="-64410"/>
    <n v="-64410"/>
    <n v="1"/>
    <x v="3"/>
    <s v="0716082064"/>
  </r>
  <r>
    <s v="190014620"/>
    <s v="Suren Auto Engineers"/>
    <x v="1"/>
    <x v="1"/>
    <s v="4227278769"/>
    <d v="2024-04-30T00:00:00"/>
    <n v="4"/>
    <x v="1"/>
    <n v="27527"/>
    <n v="27527"/>
    <n v="203"/>
    <x v="516"/>
    <s v="0713319408"/>
  </r>
  <r>
    <s v="190014651"/>
    <s v="Auto Cleancare Express (Pvt) Ltd"/>
    <x v="1"/>
    <x v="1"/>
    <s v="4227293010"/>
    <d v="2024-08-22T00:00:00"/>
    <n v="8"/>
    <x v="1"/>
    <n v="50849"/>
    <n v="50849"/>
    <n v="89"/>
    <x v="3"/>
    <s v="0112919828"/>
  </r>
  <r>
    <s v="190014651"/>
    <s v="Auto Cleancare Express (Pvt) Ltd"/>
    <x v="1"/>
    <x v="1"/>
    <s v="4227294013"/>
    <d v="2024-08-28T00:00:00"/>
    <n v="8"/>
    <x v="1"/>
    <n v="26196"/>
    <n v="26196"/>
    <n v="83"/>
    <x v="3"/>
    <s v="0112919828"/>
  </r>
  <r>
    <s v="190014651"/>
    <s v="Auto Cleancare Express (Pvt) Ltd"/>
    <x v="1"/>
    <x v="1"/>
    <s v="4227294064"/>
    <d v="2024-08-28T00:00:00"/>
    <n v="8"/>
    <x v="1"/>
    <n v="94400"/>
    <n v="94400"/>
    <n v="83"/>
    <x v="3"/>
    <s v="0112919828"/>
  </r>
  <r>
    <s v="190014651"/>
    <s v="Auto Cleancare Express (Pvt) Ltd"/>
    <x v="1"/>
    <x v="1"/>
    <s v="4227295391"/>
    <d v="2024-09-04T00:00:00"/>
    <n v="9"/>
    <x v="1"/>
    <n v="7670"/>
    <n v="7670"/>
    <n v="76"/>
    <x v="3"/>
    <s v="0112919828"/>
  </r>
  <r>
    <s v="190014651"/>
    <s v="Auto Cleancare Express (Pvt) Ltd"/>
    <x v="1"/>
    <x v="1"/>
    <s v="4227297351"/>
    <d v="2024-09-20T00:00:00"/>
    <n v="9"/>
    <x v="1"/>
    <n v="70800"/>
    <n v="70800"/>
    <n v="60"/>
    <x v="3"/>
    <s v="0112919828"/>
  </r>
  <r>
    <s v="190014651"/>
    <s v="Auto Cleancare Express (Pvt) Ltd"/>
    <x v="1"/>
    <x v="1"/>
    <s v="4227300042"/>
    <d v="2024-10-10T00:00:00"/>
    <n v="10"/>
    <x v="1"/>
    <n v="3835"/>
    <n v="3835"/>
    <n v="40"/>
    <x v="3"/>
    <s v="0112919828"/>
  </r>
  <r>
    <s v="190014651"/>
    <s v="Auto Cleancare Express (Pvt) Ltd"/>
    <x v="1"/>
    <x v="1"/>
    <s v="4227301473"/>
    <d v="2024-10-21T00:00:00"/>
    <n v="10"/>
    <x v="1"/>
    <n v="167173"/>
    <n v="167173"/>
    <n v="29"/>
    <x v="3"/>
    <s v="0112919828"/>
  </r>
  <r>
    <s v="190014651"/>
    <s v="Auto Cleancare Express (Pvt) Ltd"/>
    <x v="1"/>
    <x v="1"/>
    <s v="4227302887"/>
    <d v="2024-10-29T00:00:00"/>
    <n v="10"/>
    <x v="1"/>
    <n v="40120"/>
    <n v="40120"/>
    <n v="21"/>
    <x v="3"/>
    <s v="0112919828"/>
  </r>
  <r>
    <s v="190014651"/>
    <s v="Auto Cleancare Express (Pvt) Ltd"/>
    <x v="1"/>
    <x v="1"/>
    <s v="4227302920"/>
    <d v="2024-10-29T00:00:00"/>
    <n v="10"/>
    <x v="1"/>
    <n v="24886"/>
    <n v="24886"/>
    <n v="21"/>
    <x v="3"/>
    <s v="0112919828"/>
  </r>
  <r>
    <s v="190014651"/>
    <s v="Auto Cleancare Express (Pvt) Ltd"/>
    <x v="1"/>
    <x v="1"/>
    <s v="4227303064"/>
    <d v="2024-10-29T00:00:00"/>
    <n v="10"/>
    <x v="1"/>
    <n v="18977"/>
    <n v="18977"/>
    <n v="21"/>
    <x v="3"/>
    <s v="0112919828"/>
  </r>
  <r>
    <s v="190014651"/>
    <s v="Auto Cleancare Express (Pvt) Ltd"/>
    <x v="1"/>
    <x v="1"/>
    <s v="4227303187"/>
    <d v="2024-10-30T00:00:00"/>
    <n v="10"/>
    <x v="1"/>
    <n v="68520"/>
    <n v="68520"/>
    <n v="20"/>
    <x v="3"/>
    <s v="0112919828"/>
  </r>
  <r>
    <s v="190014651"/>
    <s v="Auto Cleancare Express (Pvt) Ltd"/>
    <x v="1"/>
    <x v="1"/>
    <s v="4227303348"/>
    <d v="2024-10-30T00:00:00"/>
    <n v="10"/>
    <x v="1"/>
    <n v="10209"/>
    <n v="10209"/>
    <n v="20"/>
    <x v="3"/>
    <s v="0112919828"/>
  </r>
  <r>
    <s v="190014651"/>
    <s v="Auto Cleancare Express (Pvt) Ltd"/>
    <x v="1"/>
    <x v="1"/>
    <s v="4227304378"/>
    <d v="2024-10-31T00:00:00"/>
    <n v="10"/>
    <x v="1"/>
    <n v="144517"/>
    <n v="144517"/>
    <n v="19"/>
    <x v="3"/>
    <s v="0112919828"/>
  </r>
  <r>
    <s v="190014651"/>
    <s v="Auto Cleancare Express (Pvt) Ltd"/>
    <x v="1"/>
    <x v="1"/>
    <s v="4227305250"/>
    <d v="2024-11-08T00:00:00"/>
    <n v="11"/>
    <x v="1"/>
    <n v="33984"/>
    <n v="33984"/>
    <n v="11"/>
    <x v="3"/>
    <s v="0112919828"/>
  </r>
  <r>
    <s v="190014651"/>
    <s v="Auto Cleancare Express (Pvt) Ltd"/>
    <x v="1"/>
    <x v="1"/>
    <s v="4227305251"/>
    <d v="2024-11-08T00:00:00"/>
    <n v="11"/>
    <x v="1"/>
    <n v="49702"/>
    <n v="49702"/>
    <n v="11"/>
    <x v="3"/>
    <s v="0112919828"/>
  </r>
  <r>
    <s v="190014679"/>
    <s v="Kumar Garage"/>
    <x v="1"/>
    <x v="1"/>
    <s v="4227281531"/>
    <d v="2024-05-27T00:00:00"/>
    <n v="5"/>
    <x v="1"/>
    <n v="37574"/>
    <n v="37574"/>
    <n v="176"/>
    <x v="517"/>
    <s v="0773023461"/>
  </r>
  <r>
    <s v="190014731"/>
    <s v="Super Shine Car Wash &amp; Service Cent"/>
    <x v="1"/>
    <x v="1"/>
    <s v="RTN CHQ 699475"/>
    <d v="2024-09-18T00:00:00"/>
    <n v="9"/>
    <x v="1"/>
    <n v="43086"/>
    <n v="43086"/>
    <n v="62"/>
    <x v="3"/>
    <s v="0754939598"/>
  </r>
  <r>
    <s v="190014731"/>
    <s v="Super Shine Car Wash &amp; Service Cent"/>
    <x v="1"/>
    <x v="1"/>
    <s v="4227283146"/>
    <d v="2024-06-07T00:00:00"/>
    <n v="6"/>
    <x v="1"/>
    <n v="83662"/>
    <n v="40576"/>
    <n v="165"/>
    <x v="518"/>
    <s v="0754939598"/>
  </r>
  <r>
    <s v="190014731"/>
    <s v="Super Shine Car Wash &amp; Service Cent"/>
    <x v="1"/>
    <x v="1"/>
    <s v="4227294011"/>
    <d v="2024-08-28T00:00:00"/>
    <n v="8"/>
    <x v="1"/>
    <n v="24886"/>
    <n v="24886"/>
    <n v="83"/>
    <x v="3"/>
    <s v="0754939598"/>
  </r>
  <r>
    <s v="190014731"/>
    <s v="Super Shine Car Wash &amp; Service Cent"/>
    <x v="1"/>
    <x v="1"/>
    <s v="4227294020"/>
    <d v="2024-08-28T00:00:00"/>
    <n v="8"/>
    <x v="1"/>
    <n v="7434"/>
    <n v="7434"/>
    <n v="83"/>
    <x v="3"/>
    <s v="0754939598"/>
  </r>
  <r>
    <s v="190014733"/>
    <s v="Supun Auto Electricals"/>
    <x v="1"/>
    <x v="1"/>
    <s v="236165 / 059094"/>
    <d v="2024-10-07T00:00:00"/>
    <n v="10"/>
    <x v="1"/>
    <n v="-100000"/>
    <n v="-100000"/>
    <n v="43"/>
    <x v="3"/>
    <s v="0770691454"/>
  </r>
  <r>
    <s v="190014733"/>
    <s v="Supun Auto Electricals"/>
    <x v="1"/>
    <x v="1"/>
    <s v="4227292233"/>
    <d v="2024-08-15T00:00:00"/>
    <n v="8"/>
    <x v="1"/>
    <n v="20361"/>
    <n v="1"/>
    <n v="96"/>
    <x v="519"/>
    <s v="0770691454"/>
  </r>
  <r>
    <s v="190014733"/>
    <s v="Supun Auto Electricals"/>
    <x v="1"/>
    <x v="1"/>
    <s v="4227297553"/>
    <d v="2024-09-25T00:00:00"/>
    <n v="9"/>
    <x v="1"/>
    <n v="155995"/>
    <n v="155995"/>
    <n v="55"/>
    <x v="3"/>
    <s v="0770691454"/>
  </r>
  <r>
    <s v="190014733"/>
    <s v="Supun Auto Electricals"/>
    <x v="1"/>
    <x v="1"/>
    <s v="4227301433"/>
    <d v="2024-10-21T00:00:00"/>
    <n v="10"/>
    <x v="1"/>
    <n v="73544"/>
    <n v="73544"/>
    <n v="29"/>
    <x v="3"/>
    <s v="0770691454"/>
  </r>
  <r>
    <s v="190014733"/>
    <s v="Supun Auto Electricals"/>
    <x v="1"/>
    <x v="1"/>
    <s v="4227304045"/>
    <d v="2024-10-31T00:00:00"/>
    <n v="10"/>
    <x v="1"/>
    <n v="49772"/>
    <n v="49772"/>
    <n v="19"/>
    <x v="3"/>
    <s v="0770691454"/>
  </r>
  <r>
    <s v="190014770"/>
    <s v="Indika Auto Hub (Pvt) Ltd"/>
    <x v="1"/>
    <x v="1"/>
    <s v="RTN CHQ 000043"/>
    <d v="2024-10-01T00:00:00"/>
    <n v="10"/>
    <x v="1"/>
    <n v="50000"/>
    <n v="50000"/>
    <n v="49"/>
    <x v="3"/>
    <s v="0712230340"/>
  </r>
  <r>
    <s v="190014770"/>
    <s v="Indika Auto Hub (Pvt) Ltd"/>
    <x v="1"/>
    <x v="1"/>
    <s v="23335/000054"/>
    <d v="2024-10-15T00:00:00"/>
    <n v="10"/>
    <x v="1"/>
    <n v="-3271"/>
    <n v="-3271"/>
    <n v="35"/>
    <x v="3"/>
    <s v="0712230340"/>
  </r>
  <r>
    <s v="190014770"/>
    <s v="Indika Auto Hub (Pvt) Ltd"/>
    <x v="1"/>
    <x v="1"/>
    <s v="233336 / 000055"/>
    <d v="2024-10-28T00:00:00"/>
    <n v="10"/>
    <x v="1"/>
    <n v="-46729"/>
    <n v="-46729"/>
    <n v="22"/>
    <x v="3"/>
    <s v="0712230340"/>
  </r>
  <r>
    <s v="190014770"/>
    <s v="Indika Auto Hub (Pvt) Ltd"/>
    <x v="1"/>
    <x v="1"/>
    <s v="4227285009"/>
    <d v="2024-06-26T00:00:00"/>
    <n v="6"/>
    <x v="1"/>
    <n v="3000"/>
    <n v="3000"/>
    <n v="146"/>
    <x v="520"/>
    <s v="0712230340"/>
  </r>
  <r>
    <s v="190014770"/>
    <s v="Indika Auto Hub (Pvt) Ltd"/>
    <x v="1"/>
    <x v="1"/>
    <s v="4227285239"/>
    <d v="2024-06-28T00:00:00"/>
    <n v="6"/>
    <x v="1"/>
    <n v="42480"/>
    <n v="42480"/>
    <n v="144"/>
    <x v="521"/>
    <s v="0712230340"/>
  </r>
  <r>
    <s v="190014770"/>
    <s v="Indika Auto Hub (Pvt) Ltd"/>
    <x v="1"/>
    <x v="1"/>
    <s v="4227285556"/>
    <d v="2024-06-28T00:00:00"/>
    <n v="6"/>
    <x v="1"/>
    <n v="767000"/>
    <n v="282000"/>
    <n v="144"/>
    <x v="522"/>
    <s v="0712230340"/>
  </r>
  <r>
    <s v="190014770"/>
    <s v="Indika Auto Hub (Pvt) Ltd"/>
    <x v="1"/>
    <x v="1"/>
    <s v="4227286610"/>
    <d v="2024-07-08T00:00:00"/>
    <n v="7"/>
    <x v="1"/>
    <n v="6785"/>
    <n v="6785"/>
    <n v="134"/>
    <x v="523"/>
    <s v="0712230340"/>
  </r>
  <r>
    <s v="190014908"/>
    <s v="Unique Commercial (Pvt) Ltd"/>
    <x v="1"/>
    <x v="1"/>
    <s v="4227289521"/>
    <d v="2024-07-29T00:00:00"/>
    <n v="7"/>
    <x v="1"/>
    <n v="11328"/>
    <n v="0"/>
    <n v="113"/>
    <x v="345"/>
    <s v="0777631211"/>
  </r>
  <r>
    <s v="190014908"/>
    <s v="Unique Commercial (Pvt) Ltd"/>
    <x v="1"/>
    <x v="1"/>
    <s v="4227292195"/>
    <d v="2024-08-15T00:00:00"/>
    <n v="8"/>
    <x v="1"/>
    <n v="33182"/>
    <n v="8378"/>
    <n v="96"/>
    <x v="524"/>
    <s v="0777631211"/>
  </r>
  <r>
    <s v="190014908"/>
    <s v="Unique Commercial (Pvt) Ltd"/>
    <x v="1"/>
    <x v="1"/>
    <s v="4227299030"/>
    <d v="2024-09-30T00:00:00"/>
    <n v="9"/>
    <x v="1"/>
    <n v="49772"/>
    <n v="49772"/>
    <n v="50"/>
    <x v="3"/>
    <s v="0777631211"/>
  </r>
  <r>
    <s v="190014964"/>
    <s v="Innovate Lanka International"/>
    <x v="1"/>
    <x v="1"/>
    <s v="4227294389"/>
    <d v="2024-08-30T00:00:00"/>
    <n v="8"/>
    <x v="1"/>
    <n v="12443"/>
    <n v="0"/>
    <n v="81"/>
    <x v="3"/>
    <s v="0773648315"/>
  </r>
  <r>
    <s v="190014999"/>
    <s v="Senadeera Engineers"/>
    <x v="1"/>
    <x v="1"/>
    <s v="4227304256"/>
    <d v="2024-10-31T00:00:00"/>
    <n v="10"/>
    <x v="1"/>
    <n v="2950"/>
    <n v="2950"/>
    <n v="19"/>
    <x v="3"/>
    <s v="0776713766"/>
  </r>
  <r>
    <s v="190015000"/>
    <s v="S. N. S. Car Service"/>
    <x v="1"/>
    <x v="1"/>
    <s v="4227294391"/>
    <d v="2024-08-30T00:00:00"/>
    <n v="8"/>
    <x v="1"/>
    <n v="12443"/>
    <n v="12443"/>
    <n v="81"/>
    <x v="3"/>
    <s v="0707404000"/>
  </r>
  <r>
    <s v="190015000"/>
    <s v="S. N. S. Car Service"/>
    <x v="1"/>
    <x v="1"/>
    <s v="4227300557"/>
    <d v="2024-10-14T00:00:00"/>
    <n v="10"/>
    <x v="1"/>
    <n v="5950"/>
    <n v="5950"/>
    <n v="36"/>
    <x v="3"/>
    <s v="0707404000"/>
  </r>
  <r>
    <s v="190015008"/>
    <s v="Art Lanka (Pvt) Ltd"/>
    <x v="1"/>
    <x v="1"/>
    <s v="4227293212"/>
    <d v="2024-08-23T00:00:00"/>
    <n v="8"/>
    <x v="1"/>
    <n v="7806"/>
    <n v="7806"/>
    <n v="88"/>
    <x v="3"/>
    <s v="0112964917"/>
  </r>
  <r>
    <s v="190015289"/>
    <s v="Pick Motor Services (Pvt) Ltd"/>
    <x v="1"/>
    <x v="1"/>
    <s v="4227298738"/>
    <d v="2024-09-30T00:00:00"/>
    <n v="9"/>
    <x v="1"/>
    <n v="11328"/>
    <n v="11328"/>
    <n v="50"/>
    <x v="3"/>
    <s v="0704806868"/>
  </r>
  <r>
    <s v="190015290"/>
    <s v="Sakura Automobile"/>
    <x v="1"/>
    <x v="1"/>
    <s v="4227298739"/>
    <d v="2024-09-30T00:00:00"/>
    <n v="9"/>
    <x v="1"/>
    <n v="5664"/>
    <n v="5664"/>
    <n v="50"/>
    <x v="3"/>
    <s v="0721524947"/>
  </r>
  <r>
    <s v="190015291"/>
    <s v="Se Battery"/>
    <x v="1"/>
    <x v="1"/>
    <s v="4227298740"/>
    <d v="2024-09-30T00:00:00"/>
    <n v="9"/>
    <x v="1"/>
    <n v="31152"/>
    <n v="31152"/>
    <n v="50"/>
    <x v="3"/>
    <s v=""/>
  </r>
  <r>
    <s v="190015291"/>
    <s v="Se Battery"/>
    <x v="1"/>
    <x v="1"/>
    <s v="4227298741"/>
    <d v="2024-09-30T00:00:00"/>
    <n v="9"/>
    <x v="1"/>
    <n v="7434"/>
    <n v="7434"/>
    <n v="50"/>
    <x v="3"/>
    <s v=""/>
  </r>
  <r>
    <s v="190015291"/>
    <s v="Se Battery"/>
    <x v="1"/>
    <x v="1"/>
    <s v="4227302895"/>
    <d v="2024-10-29T00:00:00"/>
    <n v="10"/>
    <x v="1"/>
    <n v="29500"/>
    <n v="29500"/>
    <n v="21"/>
    <x v="3"/>
    <s v=""/>
  </r>
  <r>
    <s v="190015291"/>
    <s v="Se Battery"/>
    <x v="1"/>
    <x v="1"/>
    <s v="4227304474"/>
    <d v="2024-10-31T00:00:00"/>
    <n v="10"/>
    <x v="1"/>
    <n v="192689"/>
    <n v="192689"/>
    <n v="19"/>
    <x v="3"/>
    <s v=""/>
  </r>
  <r>
    <s v="190015309"/>
    <s v="Cycle Care"/>
    <x v="1"/>
    <x v="1"/>
    <s v="4227298743"/>
    <d v="2024-09-30T00:00:00"/>
    <n v="9"/>
    <x v="1"/>
    <n v="31152"/>
    <n v="31152"/>
    <n v="50"/>
    <x v="3"/>
    <s v="0777500602"/>
  </r>
  <r>
    <s v="190015310"/>
    <s v="D. S. A. Automobile."/>
    <x v="1"/>
    <x v="1"/>
    <s v="4227298744"/>
    <d v="2024-09-30T00:00:00"/>
    <n v="9"/>
    <x v="1"/>
    <n v="127723"/>
    <n v="127723"/>
    <n v="50"/>
    <x v="3"/>
    <s v="0770650939"/>
  </r>
  <r>
    <s v="190015310"/>
    <s v="D. S. A. Automobile."/>
    <x v="1"/>
    <x v="1"/>
    <s v="4227298745"/>
    <d v="2024-09-30T00:00:00"/>
    <n v="9"/>
    <x v="1"/>
    <n v="210044"/>
    <n v="210044"/>
    <n v="50"/>
    <x v="3"/>
    <s v="0770650939"/>
  </r>
  <r>
    <s v="190015310"/>
    <s v="D. S. A. Automobile."/>
    <x v="1"/>
    <x v="1"/>
    <s v="4227298858"/>
    <d v="2024-09-30T00:00:00"/>
    <n v="9"/>
    <x v="1"/>
    <n v="268261"/>
    <n v="268261"/>
    <n v="50"/>
    <x v="3"/>
    <s v="0770650939"/>
  </r>
  <r>
    <s v="190015310"/>
    <s v="D. S. A. Automobile."/>
    <x v="1"/>
    <x v="1"/>
    <s v="4227298872"/>
    <d v="2024-09-30T00:00:00"/>
    <n v="9"/>
    <x v="1"/>
    <n v="88500"/>
    <n v="88500"/>
    <n v="50"/>
    <x v="3"/>
    <s v="0770650939"/>
  </r>
  <r>
    <s v="190015310"/>
    <s v="D. S. A. Automobile."/>
    <x v="1"/>
    <x v="1"/>
    <s v="4227299383"/>
    <d v="2024-10-04T00:00:00"/>
    <n v="10"/>
    <x v="1"/>
    <n v="27527"/>
    <n v="27527"/>
    <n v="46"/>
    <x v="3"/>
    <s v="0770650939"/>
  </r>
  <r>
    <s v="190015310"/>
    <s v="D. S. A. Automobile."/>
    <x v="1"/>
    <x v="1"/>
    <s v="4227299432"/>
    <d v="2024-10-04T00:00:00"/>
    <n v="10"/>
    <x v="1"/>
    <n v="28037"/>
    <n v="28037"/>
    <n v="46"/>
    <x v="3"/>
    <s v="0770650939"/>
  </r>
  <r>
    <s v="190015326"/>
    <s v="J. K. Quick Care"/>
    <x v="1"/>
    <x v="1"/>
    <s v="4227298904"/>
    <d v="2024-09-30T00:00:00"/>
    <n v="9"/>
    <x v="1"/>
    <n v="271400"/>
    <n v="231400"/>
    <n v="50"/>
    <x v="3"/>
    <s v="0772900969"/>
  </r>
  <r>
    <s v="190015357"/>
    <s v="Diason Impex"/>
    <x v="1"/>
    <x v="1"/>
    <s v="4227299534"/>
    <d v="2024-10-04T00:00:00"/>
    <n v="10"/>
    <x v="1"/>
    <n v="5428"/>
    <n v="5428"/>
    <n v="46"/>
    <x v="3"/>
    <s v=""/>
  </r>
  <r>
    <s v="190015396"/>
    <s v="Nalaka Auto A/c"/>
    <x v="1"/>
    <x v="1"/>
    <s v="4227300907"/>
    <d v="2024-10-15T00:00:00"/>
    <n v="10"/>
    <x v="1"/>
    <n v="32450"/>
    <n v="32450"/>
    <n v="35"/>
    <x v="3"/>
    <s v="0768648938"/>
  </r>
  <r>
    <s v="190015400"/>
    <s v="Mani Auto Parts"/>
    <x v="1"/>
    <x v="1"/>
    <s v="4227300816"/>
    <d v="2024-10-15T00:00:00"/>
    <n v="10"/>
    <x v="1"/>
    <n v="7434"/>
    <n v="7434"/>
    <n v="35"/>
    <x v="3"/>
    <s v=""/>
  </r>
  <r>
    <s v="190015404"/>
    <s v="Shantha Motors"/>
    <x v="1"/>
    <x v="1"/>
    <s v="4227300224"/>
    <d v="2024-10-11T00:00:00"/>
    <n v="10"/>
    <x v="1"/>
    <n v="14705"/>
    <n v="14705"/>
    <n v="39"/>
    <x v="3"/>
    <s v="0775518519"/>
  </r>
  <r>
    <s v="190015407"/>
    <s v="Mansari Enterprises"/>
    <x v="1"/>
    <x v="1"/>
    <s v="4227300818"/>
    <d v="2024-10-15T00:00:00"/>
    <n v="10"/>
    <x v="1"/>
    <n v="7505"/>
    <n v="0"/>
    <n v="35"/>
    <x v="3"/>
    <s v="0770258250"/>
  </r>
  <r>
    <s v="190015549"/>
    <s v="Angelos Radiator House"/>
    <x v="1"/>
    <x v="1"/>
    <s v="4227301385"/>
    <d v="2024-10-21T00:00:00"/>
    <n v="10"/>
    <x v="1"/>
    <n v="8295"/>
    <n v="8295"/>
    <n v="29"/>
    <x v="3"/>
    <s v="0706855652"/>
  </r>
  <r>
    <s v="190015612"/>
    <s v="N.D Motors"/>
    <x v="1"/>
    <x v="1"/>
    <s v="4227301027"/>
    <d v="2024-10-16T00:00:00"/>
    <n v="10"/>
    <x v="1"/>
    <n v="7788"/>
    <n v="7788"/>
    <n v="34"/>
    <x v="3"/>
    <s v="0112905933"/>
  </r>
  <r>
    <s v="190015621"/>
    <s v="Sunil Sri Auto Conditioning"/>
    <x v="1"/>
    <x v="1"/>
    <s v="4227301182"/>
    <d v="2024-10-18T00:00:00"/>
    <n v="10"/>
    <x v="1"/>
    <n v="32450"/>
    <n v="32450"/>
    <n v="32"/>
    <x v="3"/>
    <s v="0777381962"/>
  </r>
  <r>
    <s v="190015621"/>
    <s v="Sunil Sri Auto Conditioning"/>
    <x v="1"/>
    <x v="1"/>
    <s v="4227301328"/>
    <d v="2024-10-21T00:00:00"/>
    <n v="10"/>
    <x v="1"/>
    <n v="32450"/>
    <n v="32450"/>
    <n v="29"/>
    <x v="3"/>
    <s v="0777381962"/>
  </r>
  <r>
    <s v="190015756"/>
    <s v="Ransalu Car Sales (Pvt) Ltd"/>
    <x v="1"/>
    <x v="1"/>
    <s v="4227303194"/>
    <d v="2024-10-30T00:00:00"/>
    <n v="10"/>
    <x v="1"/>
    <n v="8260"/>
    <n v="8260"/>
    <n v="20"/>
    <x v="3"/>
    <s v="0773132308"/>
  </r>
  <r>
    <s v="190015771"/>
    <s v="Car Mart Audio &amp; Spareparts"/>
    <x v="1"/>
    <x v="1"/>
    <s v="4227302928"/>
    <d v="2024-10-29T00:00:00"/>
    <n v="10"/>
    <x v="1"/>
    <n v="71164"/>
    <n v="71164"/>
    <n v="21"/>
    <x v="3"/>
    <s v="07718939689"/>
  </r>
  <r>
    <s v="190015807"/>
    <s v="D. M. Motor Trading (Pvt) Ltd"/>
    <x v="1"/>
    <x v="1"/>
    <s v="4227303305"/>
    <d v="2024-10-30T00:00:00"/>
    <n v="10"/>
    <x v="1"/>
    <n v="9062"/>
    <n v="9062"/>
    <n v="20"/>
    <x v="3"/>
    <s v="0719211066"/>
  </r>
  <r>
    <s v="190015836"/>
    <s v="Defender Mobile Service"/>
    <x v="1"/>
    <x v="1"/>
    <s v="4227303771"/>
    <d v="2024-10-31T00:00:00"/>
    <n v="10"/>
    <x v="1"/>
    <n v="6490"/>
    <n v="6490"/>
    <n v="19"/>
    <x v="3"/>
    <s v="0713361556"/>
  </r>
  <r>
    <s v="190015836"/>
    <s v="Defender Mobile Service"/>
    <x v="1"/>
    <x v="1"/>
    <s v="4227303772"/>
    <d v="2024-10-31T00:00:00"/>
    <n v="10"/>
    <x v="1"/>
    <n v="6490"/>
    <n v="6490"/>
    <n v="19"/>
    <x v="3"/>
    <s v="0713361556"/>
  </r>
  <r>
    <s v="190015850"/>
    <s v="Auto Hub"/>
    <x v="1"/>
    <x v="1"/>
    <s v="4227303886"/>
    <d v="2024-10-31T00:00:00"/>
    <n v="10"/>
    <x v="1"/>
    <n v="13304"/>
    <n v="13304"/>
    <n v="19"/>
    <x v="3"/>
    <s v="0715743432"/>
  </r>
  <r>
    <s v="190015854"/>
    <s v="Dinuka Motors"/>
    <x v="1"/>
    <x v="1"/>
    <s v="4227303885"/>
    <d v="2024-10-31T00:00:00"/>
    <n v="10"/>
    <x v="1"/>
    <n v="5192"/>
    <n v="5192"/>
    <n v="19"/>
    <x v="3"/>
    <s v="0777916462"/>
  </r>
  <r>
    <s v="190000597"/>
    <s v="Spain Auto"/>
    <x v="2"/>
    <x v="2"/>
    <s v="4227285656"/>
    <d v="2024-06-29T00:00:00"/>
    <n v="6"/>
    <x v="1"/>
    <n v="92925"/>
    <n v="92925"/>
    <n v="143"/>
    <x v="525"/>
    <s v="777325252"/>
  </r>
  <r>
    <s v="190000597"/>
    <s v="Spain Auto"/>
    <x v="2"/>
    <x v="2"/>
    <s v="4227285961"/>
    <d v="2024-06-29T00:00:00"/>
    <n v="6"/>
    <x v="1"/>
    <n v="32285"/>
    <n v="32285"/>
    <n v="143"/>
    <x v="334"/>
    <s v="777325252"/>
  </r>
  <r>
    <s v="190000597"/>
    <s v="Spain Auto"/>
    <x v="2"/>
    <x v="2"/>
    <s v="4227290089"/>
    <d v="2024-07-31T00:00:00"/>
    <n v="7"/>
    <x v="1"/>
    <n v="113280"/>
    <n v="63280"/>
    <n v="111"/>
    <x v="526"/>
    <s v="777325252"/>
  </r>
  <r>
    <s v="190000597"/>
    <s v="Spain Auto"/>
    <x v="2"/>
    <x v="2"/>
    <s v="4227290116"/>
    <d v="2024-07-31T00:00:00"/>
    <n v="7"/>
    <x v="1"/>
    <n v="104303"/>
    <n v="104303"/>
    <n v="111"/>
    <x v="527"/>
    <s v="777325252"/>
  </r>
  <r>
    <s v="190000597"/>
    <s v="Spain Auto"/>
    <x v="2"/>
    <x v="2"/>
    <s v="4227290131"/>
    <d v="2024-07-31T00:00:00"/>
    <n v="7"/>
    <x v="1"/>
    <n v="13166"/>
    <n v="13166"/>
    <n v="111"/>
    <x v="528"/>
    <s v="777325252"/>
  </r>
  <r>
    <s v="190000646"/>
    <s v="Y.N.S Paints &amp; Hardwares (Pvt) Ltd"/>
    <x v="2"/>
    <x v="2"/>
    <s v="195217"/>
    <d v="2023-09-23T00:00:00"/>
    <n v="9"/>
    <x v="0"/>
    <n v="-253"/>
    <n v="-253"/>
    <n v="423"/>
    <x v="440"/>
    <s v="112330325"/>
  </r>
  <r>
    <s v="190000646"/>
    <s v="Y.N.S Paints &amp; Hardwares (Pvt) Ltd"/>
    <x v="2"/>
    <x v="2"/>
    <s v="4227051849"/>
    <d v="2018-01-12T00:00:00"/>
    <n v="1"/>
    <x v="2"/>
    <n v="2185"/>
    <n v="2185"/>
    <n v="2503"/>
    <x v="529"/>
    <s v="112330325"/>
  </r>
  <r>
    <s v="190000646"/>
    <s v="Y.N.S Paints &amp; Hardwares (Pvt) Ltd"/>
    <x v="2"/>
    <x v="2"/>
    <s v="4227294649"/>
    <d v="2024-08-30T00:00:00"/>
    <n v="8"/>
    <x v="1"/>
    <n v="17936"/>
    <n v="17936"/>
    <n v="81"/>
    <x v="3"/>
    <s v="112330325"/>
  </r>
  <r>
    <s v="190000646"/>
    <s v="Y.N.S Paints &amp; Hardwares (Pvt) Ltd"/>
    <x v="2"/>
    <x v="2"/>
    <s v="4227295133"/>
    <d v="2024-08-31T00:00:00"/>
    <n v="8"/>
    <x v="1"/>
    <n v="65018"/>
    <n v="65018"/>
    <n v="80"/>
    <x v="3"/>
    <s v="112330325"/>
  </r>
  <r>
    <s v="190000826"/>
    <s v="Goodwill Mo Bike Centre"/>
    <x v="2"/>
    <x v="2"/>
    <s v="4227272956"/>
    <d v="2024-02-29T00:00:00"/>
    <n v="2"/>
    <x v="1"/>
    <n v="11788"/>
    <n v="11788"/>
    <n v="264"/>
    <x v="530"/>
    <s v="0112675856"/>
  </r>
  <r>
    <s v="190000827"/>
    <s v="New S. R. I. Motor House"/>
    <x v="2"/>
    <x v="2"/>
    <s v="4227251166"/>
    <d v="2023-08-19T00:00:00"/>
    <n v="8"/>
    <x v="0"/>
    <n v="6649"/>
    <n v="3324"/>
    <n v="458"/>
    <x v="531"/>
    <s v="715964098"/>
  </r>
  <r>
    <s v="190000827"/>
    <s v="New S. R. I. Motor House"/>
    <x v="2"/>
    <x v="2"/>
    <s v="4227275869"/>
    <d v="2024-03-26T00:00:00"/>
    <n v="3"/>
    <x v="1"/>
    <n v="48562"/>
    <n v="42562"/>
    <n v="238"/>
    <x v="532"/>
    <s v="715964098"/>
  </r>
  <r>
    <s v="190000829"/>
    <s v="Piyanthi Motors"/>
    <x v="2"/>
    <x v="2"/>
    <s v="4227237064"/>
    <d v="2023-03-23T00:00:00"/>
    <n v="3"/>
    <x v="0"/>
    <n v="12018"/>
    <n v="12018"/>
    <n v="607"/>
    <x v="533"/>
    <s v=""/>
  </r>
  <r>
    <s v="190000829"/>
    <s v="Piyanthi Motors"/>
    <x v="2"/>
    <x v="2"/>
    <s v="4227240095"/>
    <d v="2023-04-29T00:00:00"/>
    <n v="4"/>
    <x v="0"/>
    <n v="36380"/>
    <n v="36380"/>
    <n v="570"/>
    <x v="534"/>
    <s v=""/>
  </r>
  <r>
    <s v="190000829"/>
    <s v="Piyanthi Motors"/>
    <x v="2"/>
    <x v="2"/>
    <s v="4227299911"/>
    <d v="2024-10-09T00:00:00"/>
    <n v="10"/>
    <x v="1"/>
    <n v="39237"/>
    <n v="39237"/>
    <n v="41"/>
    <x v="3"/>
    <s v=""/>
  </r>
  <r>
    <s v="190000835"/>
    <s v="Piyota Motors"/>
    <x v="2"/>
    <x v="2"/>
    <s v="S/R NARAHENPITA"/>
    <d v="2023-05-09T00:00:00"/>
    <n v="5"/>
    <x v="0"/>
    <n v="-8316.67"/>
    <n v="-6410.67"/>
    <n v="560"/>
    <x v="535"/>
    <s v="112672680"/>
  </r>
  <r>
    <s v="190000855"/>
    <s v="Laugfs Lubricants Limited"/>
    <x v="2"/>
    <x v="2"/>
    <s v="4227216154"/>
    <d v="2022-07-29T00:00:00"/>
    <n v="7"/>
    <x v="6"/>
    <n v="6300"/>
    <n v="6300"/>
    <n v="844"/>
    <x v="536"/>
    <s v="1153398612"/>
  </r>
  <r>
    <s v="190000855"/>
    <s v="Laugfs Lubricants Limited"/>
    <x v="2"/>
    <x v="2"/>
    <s v="4227275870"/>
    <d v="2024-03-26T00:00:00"/>
    <n v="3"/>
    <x v="1"/>
    <n v="7264"/>
    <n v="7264"/>
    <n v="238"/>
    <x v="537"/>
    <s v="1153398612"/>
  </r>
  <r>
    <s v="190000855"/>
    <s v="Laugfs Lubricants Limited"/>
    <x v="2"/>
    <x v="2"/>
    <s v="4227275873"/>
    <d v="2024-03-26T00:00:00"/>
    <n v="3"/>
    <x v="1"/>
    <n v="6490"/>
    <n v="6490"/>
    <n v="238"/>
    <x v="538"/>
    <s v="1153398612"/>
  </r>
  <r>
    <s v="190000855"/>
    <s v="Laugfs Lubricants Limited"/>
    <x v="2"/>
    <x v="2"/>
    <s v="4227276205"/>
    <d v="2024-03-27T00:00:00"/>
    <n v="3"/>
    <x v="1"/>
    <n v="14160"/>
    <n v="14160"/>
    <n v="237"/>
    <x v="406"/>
    <s v="1153398612"/>
  </r>
  <r>
    <s v="190000855"/>
    <s v="Laugfs Lubricants Limited"/>
    <x v="2"/>
    <x v="2"/>
    <s v="4227295921"/>
    <d v="2024-09-10T00:00:00"/>
    <n v="9"/>
    <x v="1"/>
    <n v="44941"/>
    <n v="44941"/>
    <n v="70"/>
    <x v="3"/>
    <s v="1153398612"/>
  </r>
  <r>
    <s v="190000855"/>
    <s v="Laugfs Lubricants Limited"/>
    <x v="2"/>
    <x v="2"/>
    <s v="4227296148"/>
    <d v="2024-09-12T00:00:00"/>
    <n v="9"/>
    <x v="1"/>
    <n v="8609"/>
    <n v="8609"/>
    <n v="68"/>
    <x v="3"/>
    <s v="1153398612"/>
  </r>
  <r>
    <s v="190000855"/>
    <s v="Laugfs Lubricants Limited"/>
    <x v="2"/>
    <x v="2"/>
    <s v="4227304389"/>
    <d v="2024-10-31T00:00:00"/>
    <n v="10"/>
    <x v="1"/>
    <n v="32991"/>
    <n v="32991"/>
    <n v="19"/>
    <x v="3"/>
    <s v="1153398612"/>
  </r>
  <r>
    <s v="190000855"/>
    <s v="Laugfs Lubricants Limited"/>
    <x v="2"/>
    <x v="2"/>
    <s v="4227304390"/>
    <d v="2024-10-31T00:00:00"/>
    <n v="10"/>
    <x v="1"/>
    <n v="22564"/>
    <n v="22564"/>
    <n v="19"/>
    <x v="3"/>
    <s v="1153398612"/>
  </r>
  <r>
    <s v="190000855"/>
    <s v="Laugfs Lubricants Limited"/>
    <x v="2"/>
    <x v="2"/>
    <s v="4227305547"/>
    <d v="2024-11-12T00:00:00"/>
    <n v="11"/>
    <x v="1"/>
    <n v="6457"/>
    <n v="6457"/>
    <n v="7"/>
    <x v="3"/>
    <s v="1153398612"/>
  </r>
  <r>
    <s v="190000876"/>
    <s v="M. M. Organisation"/>
    <x v="2"/>
    <x v="2"/>
    <s v="4227242962"/>
    <d v="2023-05-30T00:00:00"/>
    <n v="5"/>
    <x v="0"/>
    <n v="101611"/>
    <n v="4838"/>
    <n v="539"/>
    <x v="539"/>
    <s v="112441563"/>
  </r>
  <r>
    <s v="190000876"/>
    <s v="M. M. Organisation"/>
    <x v="2"/>
    <x v="2"/>
    <s v="4227252139"/>
    <d v="2023-08-29T00:00:00"/>
    <n v="8"/>
    <x v="0"/>
    <n v="9660"/>
    <n v="9660"/>
    <n v="448"/>
    <x v="540"/>
    <s v="112441563"/>
  </r>
  <r>
    <s v="190000876"/>
    <s v="M. M. Organisation"/>
    <x v="2"/>
    <x v="2"/>
    <s v="4227259990"/>
    <d v="2023-10-31T00:00:00"/>
    <n v="10"/>
    <x v="0"/>
    <n v="58550"/>
    <n v="18550"/>
    <n v="385"/>
    <x v="541"/>
    <s v="112441563"/>
  </r>
  <r>
    <s v="190000876"/>
    <s v="M. M. Organisation"/>
    <x v="2"/>
    <x v="2"/>
    <s v="4227267181"/>
    <d v="2024-01-09T00:00:00"/>
    <n v="1"/>
    <x v="1"/>
    <n v="84415"/>
    <n v="76981"/>
    <n v="315"/>
    <x v="542"/>
    <s v="112441563"/>
  </r>
  <r>
    <s v="190000876"/>
    <s v="M. M. Organisation"/>
    <x v="2"/>
    <x v="2"/>
    <s v="4227269570"/>
    <d v="2024-01-30T00:00:00"/>
    <n v="1"/>
    <x v="1"/>
    <n v="59870"/>
    <n v="59870"/>
    <n v="294"/>
    <x v="543"/>
    <s v="112441563"/>
  </r>
  <r>
    <s v="190000876"/>
    <s v="M. M. Organisation"/>
    <x v="2"/>
    <x v="2"/>
    <s v="4227269797"/>
    <d v="2024-01-31T00:00:00"/>
    <n v="1"/>
    <x v="1"/>
    <n v="28473"/>
    <n v="28473"/>
    <n v="293"/>
    <x v="544"/>
    <s v="112441563"/>
  </r>
  <r>
    <s v="190000876"/>
    <s v="M. M. Organisation"/>
    <x v="2"/>
    <x v="2"/>
    <s v="4227276720"/>
    <d v="2024-03-28T00:00:00"/>
    <n v="3"/>
    <x v="1"/>
    <n v="174786"/>
    <n v="174786"/>
    <n v="236"/>
    <x v="545"/>
    <s v="112441563"/>
  </r>
  <r>
    <s v="190000876"/>
    <s v="M. M. Organisation"/>
    <x v="2"/>
    <x v="2"/>
    <s v="4227282542"/>
    <d v="2024-05-31T00:00:00"/>
    <n v="5"/>
    <x v="1"/>
    <n v="71366"/>
    <n v="71366"/>
    <n v="172"/>
    <x v="546"/>
    <s v="112441563"/>
  </r>
  <r>
    <s v="190000876"/>
    <s v="M. M. Organisation"/>
    <x v="2"/>
    <x v="2"/>
    <s v="5227015449"/>
    <d v="2024-08-15T00:00:00"/>
    <n v="8"/>
    <x v="1"/>
    <n v="-4965"/>
    <n v="-4965"/>
    <n v="96"/>
    <x v="547"/>
    <s v="112441563"/>
  </r>
  <r>
    <s v="190000879"/>
    <s v="Apsara Distributors"/>
    <x v="2"/>
    <x v="2"/>
    <s v="4227298813"/>
    <d v="2024-09-30T00:00:00"/>
    <n v="9"/>
    <x v="1"/>
    <n v="6195"/>
    <n v="6195"/>
    <n v="50"/>
    <x v="3"/>
    <s v="112691304"/>
  </r>
  <r>
    <s v="190000881"/>
    <s v="Asiri Motor Stores (Pvt) Ltd"/>
    <x v="2"/>
    <x v="2"/>
    <s v="4227214825"/>
    <d v="2022-06-30T00:00:00"/>
    <n v="6"/>
    <x v="6"/>
    <n v="53222"/>
    <n v="9914.4599999999991"/>
    <n v="873"/>
    <x v="548"/>
    <s v="112543355"/>
  </r>
  <r>
    <s v="190000881"/>
    <s v="Asiri Motor Stores (Pvt) Ltd"/>
    <x v="2"/>
    <x v="2"/>
    <s v="4227215482"/>
    <d v="2022-07-18T00:00:00"/>
    <n v="7"/>
    <x v="6"/>
    <n v="36960"/>
    <n v="616"/>
    <n v="855"/>
    <x v="549"/>
    <s v="112543355"/>
  </r>
  <r>
    <s v="190000881"/>
    <s v="Asiri Motor Stores (Pvt) Ltd"/>
    <x v="2"/>
    <x v="2"/>
    <s v="4227215637"/>
    <d v="2022-07-21T00:00:00"/>
    <n v="7"/>
    <x v="6"/>
    <n v="76608"/>
    <n v="76608"/>
    <n v="852"/>
    <x v="550"/>
    <s v="112543355"/>
  </r>
  <r>
    <s v="190000881"/>
    <s v="Asiri Motor Stores (Pvt) Ltd"/>
    <x v="2"/>
    <x v="2"/>
    <s v="4227253489"/>
    <d v="2023-09-07T00:00:00"/>
    <n v="9"/>
    <x v="0"/>
    <n v="13623"/>
    <n v="13623"/>
    <n v="439"/>
    <x v="551"/>
    <s v="112543355"/>
  </r>
  <r>
    <s v="190000882"/>
    <s v="Auto Mac"/>
    <x v="2"/>
    <x v="2"/>
    <s v="4227244666"/>
    <d v="2023-06-19T00:00:00"/>
    <n v="6"/>
    <x v="0"/>
    <n v="15298"/>
    <n v="298"/>
    <n v="519"/>
    <x v="552"/>
    <s v="112669888"/>
  </r>
  <r>
    <s v="190000882"/>
    <s v="Auto Mac"/>
    <x v="2"/>
    <x v="2"/>
    <s v="4227262942"/>
    <d v="2023-11-28T00:00:00"/>
    <n v="11"/>
    <x v="0"/>
    <n v="97204"/>
    <n v="1204"/>
    <n v="357"/>
    <x v="553"/>
    <s v="112669888"/>
  </r>
  <r>
    <s v="190000883"/>
    <s v="Auto Motor Garage"/>
    <x v="2"/>
    <x v="2"/>
    <s v="4227201522"/>
    <d v="2022-01-31T00:00:00"/>
    <n v="1"/>
    <x v="6"/>
    <n v="57683"/>
    <n v="4487"/>
    <n v="1023"/>
    <x v="554"/>
    <s v="112691248"/>
  </r>
  <r>
    <s v="190000884"/>
    <s v="Auto Plex (Pvt) Ltd"/>
    <x v="2"/>
    <x v="2"/>
    <s v="4227214291"/>
    <d v="2022-06-23T00:00:00"/>
    <n v="6"/>
    <x v="6"/>
    <n v="19824"/>
    <n v="6628.4"/>
    <n v="880"/>
    <x v="555"/>
    <s v="112433726"/>
  </r>
  <r>
    <s v="190000884"/>
    <s v="Auto Plex (Pvt) Ltd"/>
    <x v="2"/>
    <x v="2"/>
    <s v="4227214856"/>
    <d v="2022-06-30T00:00:00"/>
    <n v="6"/>
    <x v="6"/>
    <n v="73920"/>
    <n v="30934.2"/>
    <n v="873"/>
    <x v="556"/>
    <s v="112433726"/>
  </r>
  <r>
    <s v="190000884"/>
    <s v="Auto Plex (Pvt) Ltd"/>
    <x v="2"/>
    <x v="2"/>
    <s v="4227264568"/>
    <d v="2023-12-13T00:00:00"/>
    <n v="12"/>
    <x v="0"/>
    <n v="41400"/>
    <n v="41400"/>
    <n v="342"/>
    <x v="557"/>
    <s v="112433726"/>
  </r>
  <r>
    <s v="190000889"/>
    <s v="Buddhi Auto Traders (Pvt) Ltd"/>
    <x v="2"/>
    <x v="2"/>
    <s v="4227232397"/>
    <d v="2023-01-31T00:00:00"/>
    <n v="1"/>
    <x v="0"/>
    <n v="25530"/>
    <n v="21368.720000000001"/>
    <n v="658"/>
    <x v="558"/>
    <s v="773524324"/>
  </r>
  <r>
    <s v="190000890"/>
    <s v="Car Tech Automobiles (Pvt) Ltd"/>
    <x v="2"/>
    <x v="2"/>
    <s v="4227289992"/>
    <d v="2024-07-31T00:00:00"/>
    <n v="7"/>
    <x v="1"/>
    <n v="72499"/>
    <n v="72499"/>
    <n v="111"/>
    <x v="559"/>
    <s v="114554930"/>
  </r>
  <r>
    <s v="190000890"/>
    <s v="Car Tech Automobiles (Pvt) Ltd"/>
    <x v="2"/>
    <x v="2"/>
    <s v="4227289995"/>
    <d v="2024-07-31T00:00:00"/>
    <n v="7"/>
    <x v="1"/>
    <n v="100067"/>
    <n v="100067"/>
    <n v="111"/>
    <x v="239"/>
    <s v="114554930"/>
  </r>
  <r>
    <s v="190000890"/>
    <s v="Car Tech Automobiles (Pvt) Ltd"/>
    <x v="2"/>
    <x v="2"/>
    <s v="4227290013"/>
    <d v="2024-07-31T00:00:00"/>
    <n v="7"/>
    <x v="1"/>
    <n v="40356"/>
    <n v="40356"/>
    <n v="111"/>
    <x v="560"/>
    <s v="114554930"/>
  </r>
  <r>
    <s v="190000890"/>
    <s v="Car Tech Automobiles (Pvt) Ltd"/>
    <x v="2"/>
    <x v="2"/>
    <s v="4227290014"/>
    <d v="2024-07-31T00:00:00"/>
    <n v="7"/>
    <x v="1"/>
    <n v="41772"/>
    <n v="41772"/>
    <n v="111"/>
    <x v="396"/>
    <s v="114554930"/>
  </r>
  <r>
    <s v="190000890"/>
    <s v="Car Tech Automobiles (Pvt) Ltd"/>
    <x v="2"/>
    <x v="2"/>
    <s v="4227290044"/>
    <d v="2024-07-31T00:00:00"/>
    <n v="7"/>
    <x v="1"/>
    <n v="118000"/>
    <n v="118000"/>
    <n v="111"/>
    <x v="561"/>
    <s v="114554930"/>
  </r>
  <r>
    <s v="190000890"/>
    <s v="Car Tech Automobiles (Pvt) Ltd"/>
    <x v="2"/>
    <x v="2"/>
    <s v="4227290090"/>
    <d v="2024-07-31T00:00:00"/>
    <n v="7"/>
    <x v="1"/>
    <n v="354000"/>
    <n v="354000"/>
    <n v="111"/>
    <x v="562"/>
    <s v="114554930"/>
  </r>
  <r>
    <s v="190000890"/>
    <s v="Car Tech Automobiles (Pvt) Ltd"/>
    <x v="2"/>
    <x v="2"/>
    <s v="4227298464"/>
    <d v="2024-09-30T00:00:00"/>
    <n v="9"/>
    <x v="1"/>
    <n v="76464"/>
    <n v="76464"/>
    <n v="50"/>
    <x v="3"/>
    <s v="114554930"/>
  </r>
  <r>
    <s v="190000890"/>
    <s v="Car Tech Automobiles (Pvt) Ltd"/>
    <x v="2"/>
    <x v="2"/>
    <s v="4227298466"/>
    <d v="2024-09-30T00:00:00"/>
    <n v="9"/>
    <x v="1"/>
    <n v="140779"/>
    <n v="140779"/>
    <n v="50"/>
    <x v="3"/>
    <s v="114554930"/>
  </r>
  <r>
    <s v="190000890"/>
    <s v="Car Tech Automobiles (Pvt) Ltd"/>
    <x v="2"/>
    <x v="2"/>
    <s v="4227298467"/>
    <d v="2024-09-30T00:00:00"/>
    <n v="9"/>
    <x v="1"/>
    <n v="196470"/>
    <n v="196470"/>
    <n v="50"/>
    <x v="3"/>
    <s v="114554930"/>
  </r>
  <r>
    <s v="190000890"/>
    <s v="Car Tech Automobiles (Pvt) Ltd"/>
    <x v="2"/>
    <x v="2"/>
    <s v="4227298469"/>
    <d v="2024-09-30T00:00:00"/>
    <n v="9"/>
    <x v="1"/>
    <n v="39624"/>
    <n v="39624"/>
    <n v="50"/>
    <x v="3"/>
    <s v="114554930"/>
  </r>
  <r>
    <s v="190000890"/>
    <s v="Car Tech Automobiles (Pvt) Ltd"/>
    <x v="2"/>
    <x v="2"/>
    <s v="4227298470"/>
    <d v="2024-09-30T00:00:00"/>
    <n v="9"/>
    <x v="1"/>
    <n v="203904"/>
    <n v="203904"/>
    <n v="50"/>
    <x v="3"/>
    <s v="114554930"/>
  </r>
  <r>
    <s v="190000890"/>
    <s v="Car Tech Automobiles (Pvt) Ltd"/>
    <x v="2"/>
    <x v="2"/>
    <s v="4227298471"/>
    <d v="2024-09-30T00:00:00"/>
    <n v="9"/>
    <x v="1"/>
    <n v="47082"/>
    <n v="47082"/>
    <n v="50"/>
    <x v="3"/>
    <s v="114554930"/>
  </r>
  <r>
    <s v="190000890"/>
    <s v="Car Tech Automobiles (Pvt) Ltd"/>
    <x v="2"/>
    <x v="2"/>
    <s v="4227298472"/>
    <d v="2024-09-30T00:00:00"/>
    <n v="9"/>
    <x v="1"/>
    <n v="126785"/>
    <n v="126785"/>
    <n v="50"/>
    <x v="3"/>
    <s v="114554930"/>
  </r>
  <r>
    <s v="190000890"/>
    <s v="Car Tech Automobiles (Pvt) Ltd"/>
    <x v="2"/>
    <x v="2"/>
    <s v="4227298473"/>
    <d v="2024-09-30T00:00:00"/>
    <n v="9"/>
    <x v="1"/>
    <n v="72499"/>
    <n v="72499"/>
    <n v="50"/>
    <x v="3"/>
    <s v="114554930"/>
  </r>
  <r>
    <s v="190000890"/>
    <s v="Car Tech Automobiles (Pvt) Ltd"/>
    <x v="2"/>
    <x v="2"/>
    <s v="4227298474"/>
    <d v="2024-09-30T00:00:00"/>
    <n v="9"/>
    <x v="1"/>
    <n v="126785"/>
    <n v="126785"/>
    <n v="50"/>
    <x v="3"/>
    <s v="114554930"/>
  </r>
  <r>
    <s v="190000890"/>
    <s v="Car Tech Automobiles (Pvt) Ltd"/>
    <x v="2"/>
    <x v="2"/>
    <s v="4227298475"/>
    <d v="2024-09-30T00:00:00"/>
    <n v="9"/>
    <x v="1"/>
    <n v="62216"/>
    <n v="62216"/>
    <n v="50"/>
    <x v="3"/>
    <s v="114554930"/>
  </r>
  <r>
    <s v="190000890"/>
    <s v="Car Tech Automobiles (Pvt) Ltd"/>
    <x v="2"/>
    <x v="2"/>
    <s v="4227300006"/>
    <d v="2024-10-10T00:00:00"/>
    <n v="10"/>
    <x v="1"/>
    <n v="21134"/>
    <n v="21134"/>
    <n v="40"/>
    <x v="3"/>
    <s v="114554930"/>
  </r>
  <r>
    <s v="190000890"/>
    <s v="Car Tech Automobiles (Pvt) Ltd"/>
    <x v="2"/>
    <x v="2"/>
    <s v="4227300027"/>
    <d v="2024-10-10T00:00:00"/>
    <n v="10"/>
    <x v="1"/>
    <n v="850"/>
    <n v="850"/>
    <n v="40"/>
    <x v="3"/>
    <s v="114554930"/>
  </r>
  <r>
    <s v="190000893"/>
    <s v="Dahanayake Motors (Pvt) Ltd"/>
    <x v="2"/>
    <x v="2"/>
    <s v="60976 - 520031"/>
    <d v="2016-08-05T00:00:00"/>
    <n v="8"/>
    <x v="2"/>
    <n v="-1235"/>
    <n v="-1235"/>
    <n v="3028"/>
    <x v="563"/>
    <s v="112386686"/>
  </r>
  <r>
    <s v="190000893"/>
    <s v="Dahanayake Motors (Pvt) Ltd"/>
    <x v="2"/>
    <x v="2"/>
    <s v=""/>
    <d v="2016-11-22T00:00:00"/>
    <n v="11"/>
    <x v="2"/>
    <n v="-965"/>
    <n v="-965"/>
    <n v="2919"/>
    <x v="564"/>
    <s v="112386686"/>
  </r>
  <r>
    <s v="190000893"/>
    <s v="Dahanayake Motors (Pvt) Ltd"/>
    <x v="2"/>
    <x v="2"/>
    <s v="4227160536"/>
    <d v="2020-12-23T00:00:00"/>
    <n v="12"/>
    <x v="3"/>
    <n v="9331"/>
    <n v="3819.05"/>
    <n v="1427"/>
    <x v="565"/>
    <s v="112386686"/>
  </r>
  <r>
    <s v="190000893"/>
    <s v="Dahanayake Motors (Pvt) Ltd"/>
    <x v="2"/>
    <x v="2"/>
    <s v="4227167985"/>
    <d v="2021-02-25T00:00:00"/>
    <n v="2"/>
    <x v="4"/>
    <n v="9936"/>
    <n v="202.32"/>
    <n v="1363"/>
    <x v="566"/>
    <s v="112386686"/>
  </r>
  <r>
    <s v="190000893"/>
    <s v="Dahanayake Motors (Pvt) Ltd"/>
    <x v="2"/>
    <x v="2"/>
    <s v="4227175239"/>
    <d v="2021-04-28T00:00:00"/>
    <n v="4"/>
    <x v="4"/>
    <n v="45619"/>
    <n v="5183.8"/>
    <n v="1301"/>
    <x v="567"/>
    <s v="112386686"/>
  </r>
  <r>
    <s v="190000893"/>
    <s v="Dahanayake Motors (Pvt) Ltd"/>
    <x v="2"/>
    <x v="2"/>
    <s v="4227175737"/>
    <d v="2021-04-30T00:00:00"/>
    <n v="4"/>
    <x v="4"/>
    <n v="57458"/>
    <n v="2795.91"/>
    <n v="1299"/>
    <x v="568"/>
    <s v="112386686"/>
  </r>
  <r>
    <s v="190000893"/>
    <s v="Dahanayake Motors (Pvt) Ltd"/>
    <x v="2"/>
    <x v="2"/>
    <s v="4227177863"/>
    <d v="2021-05-28T00:00:00"/>
    <n v="5"/>
    <x v="4"/>
    <n v="17010"/>
    <n v="850.5"/>
    <n v="1271"/>
    <x v="569"/>
    <s v="112386686"/>
  </r>
  <r>
    <s v="190000893"/>
    <s v="Dahanayake Motors (Pvt) Ltd"/>
    <x v="2"/>
    <x v="2"/>
    <s v="4227181835"/>
    <d v="2021-07-26T00:00:00"/>
    <n v="7"/>
    <x v="4"/>
    <n v="4050"/>
    <n v="1143.4000000000001"/>
    <n v="1212"/>
    <x v="570"/>
    <s v="112386686"/>
  </r>
  <r>
    <s v="190000893"/>
    <s v="Dahanayake Motors (Pvt) Ltd"/>
    <x v="2"/>
    <x v="2"/>
    <s v="4227211259"/>
    <d v="2022-05-06T00:00:00"/>
    <n v="5"/>
    <x v="6"/>
    <n v="61819"/>
    <n v="1236.3800000000001"/>
    <n v="928"/>
    <x v="571"/>
    <s v="112386686"/>
  </r>
  <r>
    <s v="190000893"/>
    <s v="Dahanayake Motors (Pvt) Ltd"/>
    <x v="2"/>
    <x v="2"/>
    <s v="4227224324"/>
    <d v="2022-10-31T00:00:00"/>
    <n v="10"/>
    <x v="6"/>
    <n v="40969"/>
    <n v="2048.4499999999998"/>
    <n v="750"/>
    <x v="572"/>
    <s v="112386686"/>
  </r>
  <r>
    <s v="190000893"/>
    <s v="Dahanayake Motors (Pvt) Ltd"/>
    <x v="2"/>
    <x v="2"/>
    <s v="4227226741"/>
    <d v="2022-11-29T00:00:00"/>
    <n v="11"/>
    <x v="6"/>
    <n v="15240"/>
    <n v="4858.8999999999996"/>
    <n v="721"/>
    <x v="573"/>
    <s v="112386686"/>
  </r>
  <r>
    <s v="190000893"/>
    <s v="Dahanayake Motors (Pvt) Ltd"/>
    <x v="2"/>
    <x v="2"/>
    <s v="4227227927"/>
    <d v="2022-12-15T00:00:00"/>
    <n v="12"/>
    <x v="6"/>
    <n v="25815"/>
    <n v="2261.0500000000002"/>
    <n v="705"/>
    <x v="574"/>
    <s v="112386686"/>
  </r>
  <r>
    <s v="190000893"/>
    <s v="Dahanayake Motors (Pvt) Ltd"/>
    <x v="2"/>
    <x v="2"/>
    <s v="4227228965"/>
    <d v="2022-12-30T00:00:00"/>
    <n v="12"/>
    <x v="6"/>
    <n v="14093"/>
    <n v="281.86"/>
    <n v="690"/>
    <x v="575"/>
    <s v="112386686"/>
  </r>
  <r>
    <s v="190000893"/>
    <s v="Dahanayake Motors (Pvt) Ltd"/>
    <x v="2"/>
    <x v="2"/>
    <s v="4227249307"/>
    <d v="2023-07-31T00:00:00"/>
    <n v="7"/>
    <x v="0"/>
    <n v="80500"/>
    <n v="3220"/>
    <n v="477"/>
    <x v="576"/>
    <s v="112386686"/>
  </r>
  <r>
    <s v="190000893"/>
    <s v="Dahanayake Motors (Pvt) Ltd"/>
    <x v="2"/>
    <x v="2"/>
    <s v="4227249520"/>
    <d v="2023-08-03T00:00:00"/>
    <n v="8"/>
    <x v="0"/>
    <n v="35549"/>
    <n v="35549"/>
    <n v="474"/>
    <x v="577"/>
    <s v="112386686"/>
  </r>
  <r>
    <s v="190000893"/>
    <s v="Dahanayake Motors (Pvt) Ltd"/>
    <x v="2"/>
    <x v="2"/>
    <s v="4227289630"/>
    <d v="2024-07-29T00:00:00"/>
    <n v="7"/>
    <x v="1"/>
    <n v="14160"/>
    <n v="14160"/>
    <n v="113"/>
    <x v="406"/>
    <s v="112386686"/>
  </r>
  <r>
    <s v="190000893"/>
    <s v="Dahanayake Motors (Pvt) Ltd"/>
    <x v="2"/>
    <x v="2"/>
    <s v="4227290136"/>
    <d v="2024-07-31T00:00:00"/>
    <n v="7"/>
    <x v="1"/>
    <n v="36250"/>
    <n v="36250"/>
    <n v="111"/>
    <x v="578"/>
    <s v="112386686"/>
  </r>
  <r>
    <s v="190000893"/>
    <s v="Dahanayake Motors (Pvt) Ltd"/>
    <x v="2"/>
    <x v="2"/>
    <s v="4227294110"/>
    <d v="2024-08-29T00:00:00"/>
    <n v="8"/>
    <x v="1"/>
    <n v="17997"/>
    <n v="17997"/>
    <n v="82"/>
    <x v="3"/>
    <s v="112386686"/>
  </r>
  <r>
    <s v="190000893"/>
    <s v="Dahanayake Motors (Pvt) Ltd"/>
    <x v="2"/>
    <x v="2"/>
    <s v="4227294407"/>
    <d v="2024-08-30T00:00:00"/>
    <n v="8"/>
    <x v="1"/>
    <n v="12443"/>
    <n v="12443"/>
    <n v="81"/>
    <x v="3"/>
    <s v="112386686"/>
  </r>
  <r>
    <s v="190000893"/>
    <s v="Dahanayake Motors (Pvt) Ltd"/>
    <x v="2"/>
    <x v="2"/>
    <s v="4227294873"/>
    <d v="2024-08-31T00:00:00"/>
    <n v="8"/>
    <x v="1"/>
    <n v="20178"/>
    <n v="20178"/>
    <n v="80"/>
    <x v="3"/>
    <s v="112386686"/>
  </r>
  <r>
    <s v="190000893"/>
    <s v="Dahanayake Motors (Pvt) Ltd"/>
    <x v="2"/>
    <x v="2"/>
    <s v="4227298578"/>
    <d v="2024-09-30T00:00:00"/>
    <n v="9"/>
    <x v="1"/>
    <n v="38232"/>
    <n v="38232"/>
    <n v="50"/>
    <x v="3"/>
    <s v="112386686"/>
  </r>
  <r>
    <s v="190000893"/>
    <s v="Dahanayake Motors (Pvt) Ltd"/>
    <x v="2"/>
    <x v="2"/>
    <s v="4227304391"/>
    <d v="2024-10-31T00:00:00"/>
    <n v="10"/>
    <x v="1"/>
    <n v="24886"/>
    <n v="24886"/>
    <n v="19"/>
    <x v="3"/>
    <s v="112386686"/>
  </r>
  <r>
    <s v="190000897"/>
    <s v="G. S. Auto Spares (Pvt) Ltd"/>
    <x v="2"/>
    <x v="2"/>
    <s v=""/>
    <d v="2024-07-08T00:00:00"/>
    <n v="7"/>
    <x v="1"/>
    <n v="13822"/>
    <n v="13822"/>
    <n v="134"/>
    <x v="579"/>
    <s v="773404498"/>
  </r>
  <r>
    <s v="190000897"/>
    <s v="G. S. Auto Spares (Pvt) Ltd"/>
    <x v="2"/>
    <x v="2"/>
    <s v="4227269794"/>
    <d v="2024-01-31T00:00:00"/>
    <n v="1"/>
    <x v="1"/>
    <n v="14868"/>
    <n v="14868"/>
    <n v="293"/>
    <x v="580"/>
    <s v="773404498"/>
  </r>
  <r>
    <s v="190000897"/>
    <s v="G. S. Auto Spares (Pvt) Ltd"/>
    <x v="2"/>
    <x v="2"/>
    <s v="4227270573"/>
    <d v="2024-02-09T00:00:00"/>
    <n v="2"/>
    <x v="1"/>
    <n v="39648"/>
    <n v="39648"/>
    <n v="284"/>
    <x v="581"/>
    <s v="773404498"/>
  </r>
  <r>
    <s v="190000897"/>
    <s v="G. S. Auto Spares (Pvt) Ltd"/>
    <x v="2"/>
    <x v="2"/>
    <s v="5227014959"/>
    <d v="2024-05-21T00:00:00"/>
    <n v="5"/>
    <x v="1"/>
    <n v="-14490"/>
    <n v="-14490"/>
    <n v="182"/>
    <x v="582"/>
    <s v="773404498"/>
  </r>
  <r>
    <s v="190000897"/>
    <s v="G. S. Auto Spares (Pvt) Ltd"/>
    <x v="2"/>
    <x v="2"/>
    <s v="5227015946"/>
    <d v="2024-11-18T00:00:00"/>
    <n v="11"/>
    <x v="1"/>
    <n v="-14868"/>
    <n v="-14868"/>
    <n v="1"/>
    <x v="3"/>
    <s v="773404498"/>
  </r>
  <r>
    <s v="190000898"/>
    <s v="Geeth Motors"/>
    <x v="2"/>
    <x v="2"/>
    <s v="4227295046"/>
    <d v="2024-08-31T00:00:00"/>
    <n v="8"/>
    <x v="1"/>
    <n v="3363"/>
    <n v="3363"/>
    <n v="80"/>
    <x v="3"/>
    <s v="716115946"/>
  </r>
  <r>
    <s v="190000898"/>
    <s v="Geeth Motors"/>
    <x v="2"/>
    <x v="2"/>
    <s v="4227295657"/>
    <d v="2024-09-06T00:00:00"/>
    <n v="9"/>
    <x v="1"/>
    <n v="22875"/>
    <n v="22875"/>
    <n v="74"/>
    <x v="3"/>
    <s v="716115946"/>
  </r>
  <r>
    <s v="190000902"/>
    <s v="Jayamanna Motors"/>
    <x v="2"/>
    <x v="2"/>
    <s v="4227214107"/>
    <d v="2022-06-21T00:00:00"/>
    <n v="6"/>
    <x v="6"/>
    <n v="72727"/>
    <n v="32811"/>
    <n v="882"/>
    <x v="583"/>
    <s v="112347891"/>
  </r>
  <r>
    <s v="190000902"/>
    <s v="Jayamanna Motors"/>
    <x v="2"/>
    <x v="2"/>
    <s v="4227263373"/>
    <d v="2023-11-30T00:00:00"/>
    <n v="11"/>
    <x v="0"/>
    <n v="80500"/>
    <n v="500"/>
    <n v="355"/>
    <x v="41"/>
    <s v="112347891"/>
  </r>
  <r>
    <s v="190000902"/>
    <s v="Jayamanna Motors"/>
    <x v="2"/>
    <x v="2"/>
    <s v="4227265841"/>
    <d v="2023-12-28T00:00:00"/>
    <n v="12"/>
    <x v="0"/>
    <n v="51750"/>
    <n v="20700"/>
    <n v="327"/>
    <x v="584"/>
    <s v="112347891"/>
  </r>
  <r>
    <s v="190000902"/>
    <s v="Jayamanna Motors"/>
    <x v="2"/>
    <x v="2"/>
    <s v="4227272282"/>
    <d v="2024-02-26T00:00:00"/>
    <n v="2"/>
    <x v="1"/>
    <n v="26550"/>
    <n v="26550"/>
    <n v="267"/>
    <x v="585"/>
    <s v="112347891"/>
  </r>
  <r>
    <s v="190000902"/>
    <s v="Jayamanna Motors"/>
    <x v="2"/>
    <x v="2"/>
    <s v="4227272954"/>
    <d v="2024-02-29T00:00:00"/>
    <n v="2"/>
    <x v="1"/>
    <n v="146910"/>
    <n v="146910"/>
    <n v="264"/>
    <x v="586"/>
    <s v="112347891"/>
  </r>
  <r>
    <s v="190000902"/>
    <s v="Jayamanna Motors"/>
    <x v="2"/>
    <x v="2"/>
    <s v="4227297181"/>
    <d v="2024-09-20T00:00:00"/>
    <n v="9"/>
    <x v="1"/>
    <n v="132726"/>
    <n v="132726"/>
    <n v="60"/>
    <x v="3"/>
    <s v="112347891"/>
  </r>
  <r>
    <s v="190000902"/>
    <s v="Jayamanna Motors"/>
    <x v="2"/>
    <x v="2"/>
    <s v="4227298117"/>
    <d v="2024-09-28T00:00:00"/>
    <n v="9"/>
    <x v="1"/>
    <n v="66363"/>
    <n v="66363"/>
    <n v="52"/>
    <x v="3"/>
    <s v="112347891"/>
  </r>
  <r>
    <s v="190000902"/>
    <s v="Jayamanna Motors"/>
    <x v="2"/>
    <x v="2"/>
    <s v="4227301899"/>
    <d v="2024-10-23T00:00:00"/>
    <n v="10"/>
    <x v="1"/>
    <n v="18125"/>
    <n v="18125"/>
    <n v="27"/>
    <x v="3"/>
    <s v="112347891"/>
  </r>
  <r>
    <s v="190000903"/>
    <s v="Jayaruwani Motor Spares"/>
    <x v="2"/>
    <x v="2"/>
    <s v="212989"/>
    <d v="2023-11-23T00:00:00"/>
    <n v="11"/>
    <x v="0"/>
    <n v="-345"/>
    <n v="-345"/>
    <n v="362"/>
    <x v="587"/>
    <s v="112336110"/>
  </r>
  <r>
    <s v="190000903"/>
    <s v="Jayaruwani Motor Spares"/>
    <x v="2"/>
    <x v="2"/>
    <s v="4227244199"/>
    <d v="2023-06-13T00:00:00"/>
    <n v="6"/>
    <x v="0"/>
    <n v="39107"/>
    <n v="1417"/>
    <n v="525"/>
    <x v="588"/>
    <s v="112336110"/>
  </r>
  <r>
    <s v="190000903"/>
    <s v="Jayaruwani Motor Spares"/>
    <x v="2"/>
    <x v="2"/>
    <s v="4227264622"/>
    <d v="2023-12-14T00:00:00"/>
    <n v="12"/>
    <x v="0"/>
    <n v="72255"/>
    <n v="4945"/>
    <n v="341"/>
    <x v="589"/>
    <s v="112336110"/>
  </r>
  <r>
    <s v="190000903"/>
    <s v="Jayaruwani Motor Spares"/>
    <x v="2"/>
    <x v="2"/>
    <s v="4227272939"/>
    <d v="2024-02-29T00:00:00"/>
    <n v="2"/>
    <x v="1"/>
    <n v="2608"/>
    <n v="2608"/>
    <n v="264"/>
    <x v="590"/>
    <s v="112336110"/>
  </r>
  <r>
    <s v="190000903"/>
    <s v="Jayaruwani Motor Spares"/>
    <x v="2"/>
    <x v="2"/>
    <s v="4227276608"/>
    <d v="2024-03-28T00:00:00"/>
    <n v="3"/>
    <x v="1"/>
    <n v="6000"/>
    <n v="6000"/>
    <n v="236"/>
    <x v="591"/>
    <s v="112336110"/>
  </r>
  <r>
    <s v="190000903"/>
    <s v="Jayaruwani Motor Spares"/>
    <x v="2"/>
    <x v="2"/>
    <s v="4227276609"/>
    <d v="2024-03-28T00:00:00"/>
    <n v="3"/>
    <x v="1"/>
    <n v="12573"/>
    <n v="12573"/>
    <n v="236"/>
    <x v="592"/>
    <s v="112336110"/>
  </r>
  <r>
    <s v="190000903"/>
    <s v="Jayaruwani Motor Spares"/>
    <x v="2"/>
    <x v="2"/>
    <s v="4227294112"/>
    <d v="2024-08-29T00:00:00"/>
    <n v="8"/>
    <x v="1"/>
    <n v="19612"/>
    <n v="19612"/>
    <n v="82"/>
    <x v="3"/>
    <s v="112336110"/>
  </r>
  <r>
    <s v="190000903"/>
    <s v="Jayaruwani Motor Spares"/>
    <x v="2"/>
    <x v="2"/>
    <s v="4227294169"/>
    <d v="2024-08-29T00:00:00"/>
    <n v="8"/>
    <x v="1"/>
    <n v="4366"/>
    <n v="4366"/>
    <n v="82"/>
    <x v="3"/>
    <s v="112336110"/>
  </r>
  <r>
    <s v="190000903"/>
    <s v="Jayaruwani Motor Spares"/>
    <x v="2"/>
    <x v="2"/>
    <s v="4227294874"/>
    <d v="2024-08-31T00:00:00"/>
    <n v="8"/>
    <x v="1"/>
    <n v="24568"/>
    <n v="24568"/>
    <n v="80"/>
    <x v="3"/>
    <s v="112336110"/>
  </r>
  <r>
    <s v="190000903"/>
    <s v="Jayaruwani Motor Spares"/>
    <x v="2"/>
    <x v="2"/>
    <s v="4227296149"/>
    <d v="2024-09-12T00:00:00"/>
    <n v="9"/>
    <x v="1"/>
    <n v="33984"/>
    <n v="33984"/>
    <n v="68"/>
    <x v="3"/>
    <s v="112336110"/>
  </r>
  <r>
    <s v="190000903"/>
    <s v="Jayaruwani Motor Spares"/>
    <x v="2"/>
    <x v="2"/>
    <s v="4227296954"/>
    <d v="2024-09-20T00:00:00"/>
    <n v="9"/>
    <x v="1"/>
    <n v="26196"/>
    <n v="26196"/>
    <n v="60"/>
    <x v="3"/>
    <s v="112336110"/>
  </r>
  <r>
    <s v="190000903"/>
    <s v="Jayaruwani Motor Spares"/>
    <x v="2"/>
    <x v="2"/>
    <s v="4227297167"/>
    <d v="2024-09-20T00:00:00"/>
    <n v="9"/>
    <x v="1"/>
    <n v="6354"/>
    <n v="6354"/>
    <n v="60"/>
    <x v="3"/>
    <s v="112336110"/>
  </r>
  <r>
    <s v="190000903"/>
    <s v="Jayaruwani Motor Spares"/>
    <x v="2"/>
    <x v="2"/>
    <s v="4227299928"/>
    <d v="2024-10-09T00:00:00"/>
    <n v="10"/>
    <x v="1"/>
    <n v="56640"/>
    <n v="56640"/>
    <n v="41"/>
    <x v="3"/>
    <s v="112336110"/>
  </r>
  <r>
    <s v="190000903"/>
    <s v="Jayaruwani Motor Spares"/>
    <x v="2"/>
    <x v="2"/>
    <s v="4227300945"/>
    <d v="2024-10-16T00:00:00"/>
    <n v="10"/>
    <x v="1"/>
    <n v="19635"/>
    <n v="19635"/>
    <n v="34"/>
    <x v="3"/>
    <s v="112336110"/>
  </r>
  <r>
    <s v="190000903"/>
    <s v="Jayaruwani Motor Spares"/>
    <x v="2"/>
    <x v="2"/>
    <s v="4227305903"/>
    <d v="2024-11-16T00:00:00"/>
    <n v="11"/>
    <x v="1"/>
    <n v="3835"/>
    <n v="3835"/>
    <n v="3"/>
    <x v="3"/>
    <s v="112336110"/>
  </r>
  <r>
    <s v="190000905"/>
    <s v="Justin Motors"/>
    <x v="2"/>
    <x v="2"/>
    <s v="4227298796"/>
    <d v="2024-09-30T00:00:00"/>
    <n v="9"/>
    <x v="1"/>
    <n v="10231"/>
    <n v="10231"/>
    <n v="50"/>
    <x v="3"/>
    <s v="777800234"/>
  </r>
  <r>
    <s v="190000909"/>
    <s v="Lakshi Traders"/>
    <x v="2"/>
    <x v="2"/>
    <s v="4227298814"/>
    <d v="2024-09-30T00:00:00"/>
    <n v="9"/>
    <x v="1"/>
    <n v="6726"/>
    <n v="6726"/>
    <n v="50"/>
    <x v="3"/>
    <s v="775553729"/>
  </r>
  <r>
    <s v="190000912"/>
    <s v="Mahesh Motor Spares"/>
    <x v="2"/>
    <x v="2"/>
    <s v="4227228625"/>
    <d v="2022-12-23T00:00:00"/>
    <n v="12"/>
    <x v="6"/>
    <n v="32200"/>
    <n v="32200"/>
    <n v="697"/>
    <x v="593"/>
    <s v=""/>
  </r>
  <r>
    <s v="190000912"/>
    <s v="Mahesh Motor Spares"/>
    <x v="2"/>
    <x v="2"/>
    <s v="4227266649"/>
    <d v="2024-01-04T00:00:00"/>
    <n v="1"/>
    <x v="1"/>
    <n v="19895"/>
    <n v="19895"/>
    <n v="320"/>
    <x v="482"/>
    <s v=""/>
  </r>
  <r>
    <s v="190000912"/>
    <s v="Mahesh Motor Spares"/>
    <x v="2"/>
    <x v="2"/>
    <s v="4227290091"/>
    <d v="2024-07-31T00:00:00"/>
    <n v="7"/>
    <x v="1"/>
    <n v="236000"/>
    <n v="236000"/>
    <n v="111"/>
    <x v="594"/>
    <s v=""/>
  </r>
  <r>
    <s v="190000912"/>
    <s v="Mahesh Motor Spares"/>
    <x v="2"/>
    <x v="2"/>
    <s v="4227291813"/>
    <d v="2024-08-13T00:00:00"/>
    <n v="8"/>
    <x v="1"/>
    <n v="14249"/>
    <n v="14249"/>
    <n v="98"/>
    <x v="595"/>
    <s v=""/>
  </r>
  <r>
    <s v="190000916"/>
    <s v="Oriental Motor Garage"/>
    <x v="2"/>
    <x v="2"/>
    <s v="223100 / 234625"/>
    <d v="2024-05-22T00:00:00"/>
    <n v="5"/>
    <x v="1"/>
    <n v="-248"/>
    <n v="-248"/>
    <n v="181"/>
    <x v="596"/>
    <s v="114342309"/>
  </r>
  <r>
    <s v="190000916"/>
    <s v="Oriental Motor Garage"/>
    <x v="2"/>
    <x v="2"/>
    <s v="235839"/>
    <d v="2024-10-14T00:00:00"/>
    <n v="10"/>
    <x v="1"/>
    <n v="-2"/>
    <n v="-2"/>
    <n v="36"/>
    <x v="3"/>
    <s v="114342309"/>
  </r>
  <r>
    <s v="190000916"/>
    <s v="Oriental Motor Garage"/>
    <x v="2"/>
    <x v="2"/>
    <s v="4227268507"/>
    <d v="2024-01-23T00:00:00"/>
    <n v="1"/>
    <x v="1"/>
    <n v="10567"/>
    <n v="6812"/>
    <n v="301"/>
    <x v="597"/>
    <s v="114342309"/>
  </r>
  <r>
    <s v="190000916"/>
    <s v="Oriental Motor Garage"/>
    <x v="2"/>
    <x v="2"/>
    <s v="4227291639"/>
    <d v="2024-08-10T00:00:00"/>
    <n v="8"/>
    <x v="1"/>
    <n v="21240"/>
    <n v="21240"/>
    <n v="101"/>
    <x v="598"/>
    <s v="114342309"/>
  </r>
  <r>
    <s v="190000916"/>
    <s v="Oriental Motor Garage"/>
    <x v="2"/>
    <x v="2"/>
    <s v="4227300939"/>
    <d v="2024-10-16T00:00:00"/>
    <n v="10"/>
    <x v="1"/>
    <n v="60215"/>
    <n v="60215"/>
    <n v="34"/>
    <x v="3"/>
    <s v="114342309"/>
  </r>
  <r>
    <s v="190000916"/>
    <s v="Oriental Motor Garage"/>
    <x v="2"/>
    <x v="2"/>
    <s v="4227300941"/>
    <d v="2024-10-16T00:00:00"/>
    <n v="10"/>
    <x v="1"/>
    <n v="49206"/>
    <n v="49206"/>
    <n v="34"/>
    <x v="3"/>
    <s v="114342309"/>
  </r>
  <r>
    <s v="190000916"/>
    <s v="Oriental Motor Garage"/>
    <x v="2"/>
    <x v="2"/>
    <s v="4227300942"/>
    <d v="2024-10-16T00:00:00"/>
    <n v="10"/>
    <x v="1"/>
    <n v="53062"/>
    <n v="53062"/>
    <n v="34"/>
    <x v="3"/>
    <s v="114342309"/>
  </r>
  <r>
    <s v="190000917"/>
    <s v="Pioneer Motors"/>
    <x v="2"/>
    <x v="2"/>
    <s v="4227246664"/>
    <d v="2023-07-07T00:00:00"/>
    <n v="7"/>
    <x v="0"/>
    <n v="45540"/>
    <n v="7140"/>
    <n v="501"/>
    <x v="599"/>
    <s v="0112432168"/>
  </r>
  <r>
    <s v="190000917"/>
    <s v="Pioneer Motors"/>
    <x v="2"/>
    <x v="2"/>
    <s v="4227296418"/>
    <d v="2024-09-13T00:00:00"/>
    <n v="9"/>
    <x v="1"/>
    <n v="22656"/>
    <n v="22656"/>
    <n v="67"/>
    <x v="3"/>
    <s v="0112432168"/>
  </r>
  <r>
    <s v="190000918"/>
    <s v="Piyaruwan Motors"/>
    <x v="2"/>
    <x v="2"/>
    <s v="4227190986"/>
    <d v="2021-11-02T00:00:00"/>
    <n v="11"/>
    <x v="4"/>
    <n v="11664"/>
    <n v="11664"/>
    <n v="1113"/>
    <x v="600"/>
    <s v="727354782"/>
  </r>
  <r>
    <s v="190000920"/>
    <s v="ABS  Trading Company"/>
    <x v="2"/>
    <x v="2"/>
    <s v="4227294885"/>
    <d v="2024-08-31T00:00:00"/>
    <n v="8"/>
    <x v="1"/>
    <n v="85078"/>
    <n v="40838"/>
    <n v="80"/>
    <x v="3"/>
    <s v="114573174"/>
  </r>
  <r>
    <s v="190000920"/>
    <s v="ABS  Trading Company"/>
    <x v="2"/>
    <x v="2"/>
    <s v="4227303078"/>
    <d v="2024-10-30T00:00:00"/>
    <n v="10"/>
    <x v="1"/>
    <n v="54315"/>
    <n v="54315"/>
    <n v="20"/>
    <x v="3"/>
    <s v="114573174"/>
  </r>
  <r>
    <s v="190000920"/>
    <s v="ABS  Trading Company"/>
    <x v="2"/>
    <x v="2"/>
    <s v="4227305412"/>
    <d v="2024-11-11T00:00:00"/>
    <n v="11"/>
    <x v="1"/>
    <n v="2266"/>
    <n v="2266"/>
    <n v="8"/>
    <x v="3"/>
    <s v="114573174"/>
  </r>
  <r>
    <s v="190000922"/>
    <s v="Ajith Motors - Darley Road"/>
    <x v="2"/>
    <x v="2"/>
    <s v="223062 / 040942"/>
    <d v="2024-05-09T00:00:00"/>
    <n v="5"/>
    <x v="1"/>
    <n v="-1128"/>
    <n v="-1128"/>
    <n v="194"/>
    <x v="601"/>
    <s v="777271101"/>
  </r>
  <r>
    <s v="190000922"/>
    <s v="Ajith Motors - Darley Road"/>
    <x v="2"/>
    <x v="2"/>
    <s v="223063 / 040943"/>
    <d v="2024-05-21T00:00:00"/>
    <n v="5"/>
    <x v="1"/>
    <n v="-37581"/>
    <n v="-37581"/>
    <n v="182"/>
    <x v="602"/>
    <s v="777271101"/>
  </r>
  <r>
    <s v="190000922"/>
    <s v="Ajith Motors - Darley Road"/>
    <x v="2"/>
    <x v="2"/>
    <s v="4227219292"/>
    <d v="2022-09-05T00:00:00"/>
    <n v="9"/>
    <x v="6"/>
    <n v="17825"/>
    <n v="15215"/>
    <n v="806"/>
    <x v="603"/>
    <s v="777271101"/>
  </r>
  <r>
    <s v="190000922"/>
    <s v="Ajith Motors - Darley Road"/>
    <x v="2"/>
    <x v="2"/>
    <s v="4227264878"/>
    <d v="2023-12-19T00:00:00"/>
    <n v="12"/>
    <x v="0"/>
    <n v="103500"/>
    <n v="103500"/>
    <n v="336"/>
    <x v="604"/>
    <s v="777271101"/>
  </r>
  <r>
    <s v="190000922"/>
    <s v="Ajith Motors - Darley Road"/>
    <x v="2"/>
    <x v="2"/>
    <s v="4227264886"/>
    <d v="2023-12-19T00:00:00"/>
    <n v="12"/>
    <x v="0"/>
    <n v="41297"/>
    <n v="41297"/>
    <n v="336"/>
    <x v="605"/>
    <s v="777271101"/>
  </r>
  <r>
    <s v="190000922"/>
    <s v="Ajith Motors - Darley Road"/>
    <x v="2"/>
    <x v="2"/>
    <s v="4227276610"/>
    <d v="2024-03-28T00:00:00"/>
    <n v="3"/>
    <x v="1"/>
    <n v="89208"/>
    <n v="17722"/>
    <n v="236"/>
    <x v="606"/>
    <s v="777271101"/>
  </r>
  <r>
    <s v="190000922"/>
    <s v="Ajith Motors - Darley Road"/>
    <x v="2"/>
    <x v="2"/>
    <s v="4227276706"/>
    <d v="2024-03-28T00:00:00"/>
    <n v="3"/>
    <x v="1"/>
    <n v="97439"/>
    <n v="97439"/>
    <n v="236"/>
    <x v="607"/>
    <s v="777271101"/>
  </r>
  <r>
    <s v="190000922"/>
    <s v="Ajith Motors - Darley Road"/>
    <x v="2"/>
    <x v="2"/>
    <s v="4227276707"/>
    <d v="2024-03-28T00:00:00"/>
    <n v="3"/>
    <x v="1"/>
    <n v="99297"/>
    <n v="99297"/>
    <n v="236"/>
    <x v="608"/>
    <s v="777271101"/>
  </r>
  <r>
    <s v="190000922"/>
    <s v="Ajith Motors - Darley Road"/>
    <x v="2"/>
    <x v="2"/>
    <s v="4227301146"/>
    <d v="2024-10-18T00:00:00"/>
    <n v="10"/>
    <x v="1"/>
    <n v="10089"/>
    <n v="10089"/>
    <n v="32"/>
    <x v="3"/>
    <s v="777271101"/>
  </r>
  <r>
    <s v="190000922"/>
    <s v="Ajith Motors - Darley Road"/>
    <x v="2"/>
    <x v="2"/>
    <s v="4227301148"/>
    <d v="2024-10-18T00:00:00"/>
    <n v="10"/>
    <x v="1"/>
    <n v="134051"/>
    <n v="134051"/>
    <n v="32"/>
    <x v="3"/>
    <s v="777271101"/>
  </r>
  <r>
    <s v="190000922"/>
    <s v="Ajith Motors - Darley Road"/>
    <x v="2"/>
    <x v="2"/>
    <s v="4227301193"/>
    <d v="2024-10-18T00:00:00"/>
    <n v="10"/>
    <x v="1"/>
    <n v="44840"/>
    <n v="44840"/>
    <n v="32"/>
    <x v="3"/>
    <s v="777271101"/>
  </r>
  <r>
    <s v="190000922"/>
    <s v="Ajith Motors - Darley Road"/>
    <x v="2"/>
    <x v="2"/>
    <s v="4227301194"/>
    <d v="2024-10-18T00:00:00"/>
    <n v="10"/>
    <x v="1"/>
    <n v="74340"/>
    <n v="74340"/>
    <n v="32"/>
    <x v="3"/>
    <s v="777271101"/>
  </r>
  <r>
    <s v="190000922"/>
    <s v="Ajith Motors - Darley Road"/>
    <x v="2"/>
    <x v="2"/>
    <s v="5227014104"/>
    <d v="2023-12-05T00:00:00"/>
    <n v="12"/>
    <x v="0"/>
    <n v="-6555"/>
    <n v="-6555"/>
    <n v="350"/>
    <x v="609"/>
    <s v="777271101"/>
  </r>
  <r>
    <s v="190000922"/>
    <s v="Ajith Motors - Darley Road"/>
    <x v="2"/>
    <x v="2"/>
    <s v="5227015393"/>
    <d v="2024-08-12T00:00:00"/>
    <n v="8"/>
    <x v="1"/>
    <n v="-46575"/>
    <n v="-46575"/>
    <n v="99"/>
    <x v="610"/>
    <s v="777271101"/>
  </r>
  <r>
    <s v="190000922"/>
    <s v="Ajith Motors - Darley Road"/>
    <x v="2"/>
    <x v="2"/>
    <s v="5227015394"/>
    <d v="2024-08-12T00:00:00"/>
    <n v="8"/>
    <x v="1"/>
    <n v="-27324"/>
    <n v="-27324"/>
    <n v="99"/>
    <x v="611"/>
    <s v="777271101"/>
  </r>
  <r>
    <s v="190000922"/>
    <s v="Ajith Motors - Darley Road"/>
    <x v="2"/>
    <x v="2"/>
    <s v="5227015948"/>
    <d v="2024-11-18T00:00:00"/>
    <n v="11"/>
    <x v="1"/>
    <n v="-34257"/>
    <n v="-34257"/>
    <n v="1"/>
    <x v="3"/>
    <s v="777271101"/>
  </r>
  <r>
    <s v="190000923"/>
    <s v="Ajith Motors - Colombo 10"/>
    <x v="2"/>
    <x v="2"/>
    <s v="229940 / 460091"/>
    <d v="2024-08-15T00:00:00"/>
    <n v="8"/>
    <x v="1"/>
    <n v="-50976"/>
    <n v="-50976"/>
    <n v="96"/>
    <x v="612"/>
    <s v="773128633"/>
  </r>
  <r>
    <s v="190000923"/>
    <s v="Ajith Motors - Colombo 10"/>
    <x v="2"/>
    <x v="2"/>
    <s v="4227249299"/>
    <d v="2023-07-31T00:00:00"/>
    <n v="7"/>
    <x v="0"/>
    <n v="80500"/>
    <n v="80500"/>
    <n v="477"/>
    <x v="138"/>
    <s v="773128633"/>
  </r>
  <r>
    <s v="190000923"/>
    <s v="Ajith Motors - Colombo 10"/>
    <x v="2"/>
    <x v="2"/>
    <s v="4227289968"/>
    <d v="2024-07-31T00:00:00"/>
    <n v="7"/>
    <x v="1"/>
    <n v="56640"/>
    <n v="55575"/>
    <n v="111"/>
    <x v="613"/>
    <s v="773128633"/>
  </r>
  <r>
    <s v="190000923"/>
    <s v="Ajith Motors - Colombo 10"/>
    <x v="2"/>
    <x v="2"/>
    <s v="5227015450"/>
    <d v="2024-08-15T00:00:00"/>
    <n v="8"/>
    <x v="1"/>
    <n v="-80500"/>
    <n v="-80500"/>
    <n v="96"/>
    <x v="614"/>
    <s v="773128633"/>
  </r>
  <r>
    <s v="190000929"/>
    <s v="Auto Mac"/>
    <x v="2"/>
    <x v="2"/>
    <s v="4227193773"/>
    <d v="2021-11-25T00:00:00"/>
    <n v="11"/>
    <x v="4"/>
    <n v="1404"/>
    <n v="1404"/>
    <n v="1090"/>
    <x v="615"/>
    <s v="112669888"/>
  </r>
  <r>
    <s v="190000940"/>
    <s v="Central Finance Co.Ltd"/>
    <x v="2"/>
    <x v="2"/>
    <s v="4227238809"/>
    <d v="2023-04-18T00:00:00"/>
    <n v="4"/>
    <x v="0"/>
    <n v="10019"/>
    <n v="10019"/>
    <n v="581"/>
    <x v="616"/>
    <s v="112675125"/>
  </r>
  <r>
    <s v="190000940"/>
    <s v="Central Finance Co.Ltd"/>
    <x v="2"/>
    <x v="2"/>
    <s v="4227243318"/>
    <d v="2023-05-31T00:00:00"/>
    <n v="5"/>
    <x v="0"/>
    <n v="55200"/>
    <n v="20109"/>
    <n v="538"/>
    <x v="617"/>
    <s v="112675125"/>
  </r>
  <r>
    <s v="190000940"/>
    <s v="Central Finance Co.Ltd"/>
    <x v="2"/>
    <x v="2"/>
    <s v="4227289911"/>
    <d v="2024-07-30T00:00:00"/>
    <n v="7"/>
    <x v="1"/>
    <n v="10762"/>
    <n v="0.4"/>
    <n v="112"/>
    <x v="618"/>
    <s v="112675125"/>
  </r>
  <r>
    <s v="190000940"/>
    <s v="Central Finance Co.Ltd"/>
    <x v="2"/>
    <x v="2"/>
    <s v="4227295267"/>
    <d v="2024-09-03T00:00:00"/>
    <n v="9"/>
    <x v="1"/>
    <n v="6136"/>
    <n v="6136"/>
    <n v="77"/>
    <x v="3"/>
    <s v="112675125"/>
  </r>
  <r>
    <s v="190000940"/>
    <s v="Central Finance Co.Ltd"/>
    <x v="2"/>
    <x v="2"/>
    <s v="4227299410"/>
    <d v="2024-10-04T00:00:00"/>
    <n v="10"/>
    <x v="1"/>
    <n v="100932"/>
    <n v="100932"/>
    <n v="46"/>
    <x v="3"/>
    <s v="112675125"/>
  </r>
  <r>
    <s v="190000940"/>
    <s v="Central Finance Co.Ltd"/>
    <x v="2"/>
    <x v="2"/>
    <s v="4227299455"/>
    <d v="2024-10-04T00:00:00"/>
    <n v="10"/>
    <x v="1"/>
    <n v="12272"/>
    <n v="12272"/>
    <n v="46"/>
    <x v="3"/>
    <s v="112675125"/>
  </r>
  <r>
    <s v="190000940"/>
    <s v="Central Finance Co.Ltd"/>
    <x v="2"/>
    <x v="2"/>
    <s v="4227301589"/>
    <d v="2024-10-21T00:00:00"/>
    <n v="10"/>
    <x v="1"/>
    <n v="50105"/>
    <n v="50105"/>
    <n v="29"/>
    <x v="3"/>
    <s v="112675125"/>
  </r>
  <r>
    <s v="190000940"/>
    <s v="Central Finance Co.Ltd"/>
    <x v="2"/>
    <x v="2"/>
    <s v="4227301590"/>
    <d v="2024-10-21T00:00:00"/>
    <n v="10"/>
    <x v="1"/>
    <n v="46728"/>
    <n v="46728"/>
    <n v="29"/>
    <x v="3"/>
    <s v="112675125"/>
  </r>
  <r>
    <s v="190000940"/>
    <s v="Central Finance Co.Ltd"/>
    <x v="2"/>
    <x v="2"/>
    <s v="4227301820"/>
    <d v="2024-10-23T00:00:00"/>
    <n v="10"/>
    <x v="1"/>
    <n v="139441"/>
    <n v="139441"/>
    <n v="27"/>
    <x v="3"/>
    <s v="112675125"/>
  </r>
  <r>
    <s v="190000940"/>
    <s v="Central Finance Co.Ltd"/>
    <x v="2"/>
    <x v="2"/>
    <s v="4227304392"/>
    <d v="2024-10-31T00:00:00"/>
    <n v="10"/>
    <x v="1"/>
    <n v="7788"/>
    <n v="7788"/>
    <n v="19"/>
    <x v="3"/>
    <s v="112675125"/>
  </r>
  <r>
    <s v="190000940"/>
    <s v="Central Finance Co.Ltd"/>
    <x v="2"/>
    <x v="2"/>
    <s v="4227305329"/>
    <d v="2024-11-09T00:00:00"/>
    <n v="11"/>
    <x v="1"/>
    <n v="50817"/>
    <n v="50817"/>
    <n v="10"/>
    <x v="3"/>
    <s v="112675125"/>
  </r>
  <r>
    <s v="190000940"/>
    <s v="Central Finance Co.Ltd"/>
    <x v="2"/>
    <x v="2"/>
    <s v="4227305344"/>
    <d v="2024-11-09T00:00:00"/>
    <n v="11"/>
    <x v="1"/>
    <n v="6608"/>
    <n v="6608"/>
    <n v="10"/>
    <x v="3"/>
    <s v="112675125"/>
  </r>
  <r>
    <s v="190000941"/>
    <s v="Ceylon Auto Trades (Pvt) Ltd"/>
    <x v="2"/>
    <x v="2"/>
    <s v="4227297976"/>
    <d v="2024-09-27T00:00:00"/>
    <n v="9"/>
    <x v="1"/>
    <n v="9062"/>
    <n v="9062"/>
    <n v="53"/>
    <x v="3"/>
    <s v="112347372"/>
  </r>
  <r>
    <s v="190000941"/>
    <s v="Ceylon Auto Trades (Pvt) Ltd"/>
    <x v="2"/>
    <x v="2"/>
    <s v="4227300779"/>
    <d v="2024-10-15T00:00:00"/>
    <n v="10"/>
    <x v="1"/>
    <n v="7741"/>
    <n v="7741"/>
    <n v="35"/>
    <x v="3"/>
    <s v="112347372"/>
  </r>
  <r>
    <s v="190000945"/>
    <s v="Darsana Enterprise"/>
    <x v="2"/>
    <x v="2"/>
    <s v="4227235257"/>
    <d v="2023-02-28T00:00:00"/>
    <n v="2"/>
    <x v="0"/>
    <n v="41788"/>
    <n v="835.36"/>
    <n v="630"/>
    <x v="619"/>
    <s v="112446327"/>
  </r>
  <r>
    <s v="190000945"/>
    <s v="Darsana Enterprise"/>
    <x v="2"/>
    <x v="2"/>
    <s v="4227245718"/>
    <d v="2023-06-28T00:00:00"/>
    <n v="6"/>
    <x v="0"/>
    <n v="15677"/>
    <n v="784"/>
    <n v="510"/>
    <x v="620"/>
    <s v="112446327"/>
  </r>
  <r>
    <s v="190000945"/>
    <s v="Darsana Enterprise"/>
    <x v="2"/>
    <x v="2"/>
    <s v="4227251531"/>
    <d v="2023-08-23T00:00:00"/>
    <n v="8"/>
    <x v="0"/>
    <n v="24254"/>
    <n v="727"/>
    <n v="454"/>
    <x v="621"/>
    <s v="112446327"/>
  </r>
  <r>
    <s v="190000945"/>
    <s v="Darsana Enterprise"/>
    <x v="2"/>
    <x v="2"/>
    <s v="4227252592"/>
    <d v="2023-08-31T00:00:00"/>
    <n v="8"/>
    <x v="0"/>
    <n v="39330"/>
    <n v="2519"/>
    <n v="446"/>
    <x v="622"/>
    <s v="112446327"/>
  </r>
  <r>
    <s v="190000945"/>
    <s v="Darsana Enterprise"/>
    <x v="2"/>
    <x v="2"/>
    <s v="4227264642"/>
    <d v="2023-12-14T00:00:00"/>
    <n v="12"/>
    <x v="0"/>
    <n v="53873"/>
    <n v="2694"/>
    <n v="341"/>
    <x v="623"/>
    <s v="112446327"/>
  </r>
  <r>
    <s v="190000945"/>
    <s v="Darsana Enterprise"/>
    <x v="2"/>
    <x v="2"/>
    <s v="4227272947"/>
    <d v="2024-02-29T00:00:00"/>
    <n v="2"/>
    <x v="1"/>
    <n v="9552"/>
    <n v="1646"/>
    <n v="264"/>
    <x v="624"/>
    <s v="112446327"/>
  </r>
  <r>
    <s v="190000945"/>
    <s v="Darsana Enterprise"/>
    <x v="2"/>
    <x v="2"/>
    <s v="4227278741"/>
    <d v="2024-04-30T00:00:00"/>
    <n v="4"/>
    <x v="1"/>
    <n v="10001"/>
    <n v="501"/>
    <n v="203"/>
    <x v="625"/>
    <s v="112446327"/>
  </r>
  <r>
    <s v="190000945"/>
    <s v="Darsana Enterprise"/>
    <x v="2"/>
    <x v="2"/>
    <s v="4227286056"/>
    <d v="2024-06-30T00:00:00"/>
    <n v="6"/>
    <x v="1"/>
    <n v="24886"/>
    <n v="1244"/>
    <n v="142"/>
    <x v="626"/>
    <s v="112446327"/>
  </r>
  <r>
    <s v="190000945"/>
    <s v="Darsana Enterprise"/>
    <x v="2"/>
    <x v="2"/>
    <s v="4227289635"/>
    <d v="2024-07-29T00:00:00"/>
    <n v="7"/>
    <x v="1"/>
    <n v="24886"/>
    <n v="1245"/>
    <n v="113"/>
    <x v="627"/>
    <s v="112446327"/>
  </r>
  <r>
    <s v="190000945"/>
    <s v="Darsana Enterprise"/>
    <x v="2"/>
    <x v="2"/>
    <s v="4227290485"/>
    <d v="2024-07-31T00:00:00"/>
    <n v="7"/>
    <x v="1"/>
    <n v="24886"/>
    <n v="1244"/>
    <n v="111"/>
    <x v="626"/>
    <s v="112446327"/>
  </r>
  <r>
    <s v="190000945"/>
    <s v="Darsana Enterprise"/>
    <x v="2"/>
    <x v="2"/>
    <s v="4227294111"/>
    <d v="2024-08-29T00:00:00"/>
    <n v="8"/>
    <x v="1"/>
    <n v="7434"/>
    <n v="7434"/>
    <n v="82"/>
    <x v="3"/>
    <s v="112446327"/>
  </r>
  <r>
    <s v="190000945"/>
    <s v="Darsana Enterprise"/>
    <x v="2"/>
    <x v="2"/>
    <s v="4227296201"/>
    <d v="2024-09-12T00:00:00"/>
    <n v="9"/>
    <x v="1"/>
    <n v="33984"/>
    <n v="2506"/>
    <n v="68"/>
    <x v="3"/>
    <s v="112446327"/>
  </r>
  <r>
    <s v="190000945"/>
    <s v="Darsana Enterprise"/>
    <x v="2"/>
    <x v="2"/>
    <s v="4227300938"/>
    <d v="2024-10-16T00:00:00"/>
    <n v="10"/>
    <x v="1"/>
    <n v="99545"/>
    <n v="99545"/>
    <n v="34"/>
    <x v="3"/>
    <s v="112446327"/>
  </r>
  <r>
    <s v="190000947"/>
    <s v="Dolphin auto Radiators"/>
    <x v="2"/>
    <x v="2"/>
    <s v="4227298023"/>
    <d v="2024-09-27T00:00:00"/>
    <n v="9"/>
    <x v="1"/>
    <n v="66322"/>
    <n v="66322"/>
    <n v="53"/>
    <x v="3"/>
    <s v="773055185"/>
  </r>
  <r>
    <s v="190000950"/>
    <s v="Gunadasa Motor Stores"/>
    <x v="2"/>
    <x v="2"/>
    <s v="4227227089"/>
    <d v="2022-11-30T00:00:00"/>
    <n v="11"/>
    <x v="6"/>
    <n v="84094"/>
    <n v="16388"/>
    <n v="720"/>
    <x v="628"/>
    <s v="777734397"/>
  </r>
  <r>
    <s v="190000950"/>
    <s v="Gunadasa Motor Stores"/>
    <x v="2"/>
    <x v="2"/>
    <s v="4227291811"/>
    <d v="2024-08-13T00:00:00"/>
    <n v="8"/>
    <x v="1"/>
    <n v="4750"/>
    <n v="4750"/>
    <n v="98"/>
    <x v="629"/>
    <s v="777734397"/>
  </r>
  <r>
    <s v="190000950"/>
    <s v="Gunadasa Motor Stores"/>
    <x v="2"/>
    <x v="2"/>
    <s v="4227295070"/>
    <d v="2024-08-31T00:00:00"/>
    <n v="8"/>
    <x v="1"/>
    <n v="19028"/>
    <n v="19028"/>
    <n v="80"/>
    <x v="3"/>
    <s v="777734397"/>
  </r>
  <r>
    <s v="190000958"/>
    <s v="Isuru Motor Spares"/>
    <x v="2"/>
    <x v="2"/>
    <s v="229937 / 914377"/>
    <d v="2024-09-04T00:00:00"/>
    <n v="9"/>
    <x v="1"/>
    <n v="-34199"/>
    <n v="-34199"/>
    <n v="76"/>
    <x v="3"/>
    <s v="112433701"/>
  </r>
  <r>
    <s v="190000958"/>
    <s v="Isuru Motor Spares"/>
    <x v="2"/>
    <x v="2"/>
    <s v="4227289310"/>
    <d v="2024-07-26T00:00:00"/>
    <n v="7"/>
    <x v="1"/>
    <n v="52760"/>
    <n v="52760"/>
    <n v="116"/>
    <x v="630"/>
    <s v="112433701"/>
  </r>
  <r>
    <s v="190000958"/>
    <s v="Isuru Motor Spares"/>
    <x v="2"/>
    <x v="2"/>
    <s v="4227291580"/>
    <d v="2024-08-09T00:00:00"/>
    <n v="8"/>
    <x v="1"/>
    <n v="53808"/>
    <n v="53808"/>
    <n v="102"/>
    <x v="631"/>
    <s v="112433701"/>
  </r>
  <r>
    <s v="190000958"/>
    <s v="Isuru Motor Spares"/>
    <x v="2"/>
    <x v="2"/>
    <s v="4227294103"/>
    <d v="2024-08-29T00:00:00"/>
    <n v="8"/>
    <x v="1"/>
    <n v="31152"/>
    <n v="31152"/>
    <n v="82"/>
    <x v="3"/>
    <s v="112433701"/>
  </r>
  <r>
    <s v="190000958"/>
    <s v="Isuru Motor Spares"/>
    <x v="2"/>
    <x v="2"/>
    <s v="4227294886"/>
    <d v="2024-08-31T00:00:00"/>
    <n v="8"/>
    <x v="1"/>
    <n v="17997"/>
    <n v="17997"/>
    <n v="80"/>
    <x v="3"/>
    <s v="112433701"/>
  </r>
  <r>
    <s v="190000958"/>
    <s v="Isuru Motor Spares"/>
    <x v="2"/>
    <x v="2"/>
    <s v="4227298476"/>
    <d v="2024-09-30T00:00:00"/>
    <n v="9"/>
    <x v="1"/>
    <n v="13594"/>
    <n v="13594"/>
    <n v="50"/>
    <x v="3"/>
    <s v="112433701"/>
  </r>
  <r>
    <s v="190000958"/>
    <s v="Isuru Motor Spares"/>
    <x v="2"/>
    <x v="2"/>
    <s v="4227303079"/>
    <d v="2024-10-30T00:00:00"/>
    <n v="10"/>
    <x v="1"/>
    <n v="13594"/>
    <n v="13594"/>
    <n v="20"/>
    <x v="3"/>
    <s v="112433701"/>
  </r>
  <r>
    <s v="190000963"/>
    <s v="K K Ariyadasa Motors (Pvt) Ltd"/>
    <x v="2"/>
    <x v="2"/>
    <s v="RTN CHQ - 620429"/>
    <d v="2020-11-11T00:00:00"/>
    <n v="11"/>
    <x v="3"/>
    <n v="13565"/>
    <n v="505"/>
    <n v="1469"/>
    <x v="632"/>
    <s v="112435010"/>
  </r>
  <r>
    <s v="190000963"/>
    <s v="K K Ariyadasa Motors (Pvt) Ltd"/>
    <x v="2"/>
    <x v="2"/>
    <s v="4227283238"/>
    <d v="2024-06-10T00:00:00"/>
    <n v="6"/>
    <x v="1"/>
    <n v="8732"/>
    <n v="8732"/>
    <n v="162"/>
    <x v="633"/>
    <s v="112435010"/>
  </r>
  <r>
    <s v="190000963"/>
    <s v="K K Ariyadasa Motors (Pvt) Ltd"/>
    <x v="2"/>
    <x v="2"/>
    <s v="4227288845"/>
    <d v="2024-07-24T00:00:00"/>
    <n v="7"/>
    <x v="1"/>
    <n v="56640"/>
    <n v="0.4"/>
    <n v="118"/>
    <x v="618"/>
    <s v="112435010"/>
  </r>
  <r>
    <s v="190000963"/>
    <s v="K K Ariyadasa Motors (Pvt) Ltd"/>
    <x v="2"/>
    <x v="2"/>
    <s v="4227292050"/>
    <d v="2024-08-14T00:00:00"/>
    <n v="8"/>
    <x v="1"/>
    <n v="26196"/>
    <n v="26196"/>
    <n v="97"/>
    <x v="634"/>
    <s v="112435010"/>
  </r>
  <r>
    <s v="190000963"/>
    <s v="K K Ariyadasa Motors (Pvt) Ltd"/>
    <x v="2"/>
    <x v="2"/>
    <s v="4227292062"/>
    <d v="2024-08-14T00:00:00"/>
    <n v="8"/>
    <x v="1"/>
    <n v="15237"/>
    <n v="5848.5"/>
    <n v="97"/>
    <x v="635"/>
    <s v="112435010"/>
  </r>
  <r>
    <s v="190000963"/>
    <s v="K K Ariyadasa Motors (Pvt) Ltd"/>
    <x v="2"/>
    <x v="2"/>
    <s v="4227294406"/>
    <d v="2024-08-30T00:00:00"/>
    <n v="8"/>
    <x v="1"/>
    <n v="8732"/>
    <n v="8732"/>
    <n v="81"/>
    <x v="3"/>
    <s v="112435010"/>
  </r>
  <r>
    <s v="190000963"/>
    <s v="K K Ariyadasa Motors (Pvt) Ltd"/>
    <x v="2"/>
    <x v="2"/>
    <s v="4227295928"/>
    <d v="2024-09-10T00:00:00"/>
    <n v="9"/>
    <x v="1"/>
    <n v="20320"/>
    <n v="20320"/>
    <n v="70"/>
    <x v="3"/>
    <s v="112435010"/>
  </r>
  <r>
    <s v="190000963"/>
    <s v="K K Ariyadasa Motors (Pvt) Ltd"/>
    <x v="2"/>
    <x v="2"/>
    <s v="4227304393"/>
    <d v="2024-10-31T00:00:00"/>
    <n v="10"/>
    <x v="1"/>
    <n v="24886"/>
    <n v="24886"/>
    <n v="19"/>
    <x v="3"/>
    <s v="112435010"/>
  </r>
  <r>
    <s v="190000969"/>
    <s v="Leela Motora Stores"/>
    <x v="2"/>
    <x v="2"/>
    <s v="4227272949"/>
    <d v="2024-02-29T00:00:00"/>
    <n v="2"/>
    <x v="1"/>
    <n v="34196"/>
    <n v="34196"/>
    <n v="264"/>
    <x v="636"/>
    <s v="112435025"/>
  </r>
  <r>
    <s v="190000977"/>
    <s v="New Tissa Electricals"/>
    <x v="2"/>
    <x v="2"/>
    <s v="101658 - 618294"/>
    <d v="2018-09-28T00:00:00"/>
    <n v="9"/>
    <x v="2"/>
    <n v="-12610"/>
    <n v="-12610"/>
    <n v="2244"/>
    <x v="637"/>
    <s v="112688073"/>
  </r>
  <r>
    <s v="190000977"/>
    <s v="New Tissa Electricals"/>
    <x v="2"/>
    <x v="2"/>
    <s v="4227290233"/>
    <d v="2024-07-31T00:00:00"/>
    <n v="7"/>
    <x v="1"/>
    <n v="50034"/>
    <n v="50034"/>
    <n v="111"/>
    <x v="638"/>
    <s v="112688073"/>
  </r>
  <r>
    <s v="190000979"/>
    <s v="Piyaruwan Motors"/>
    <x v="2"/>
    <x v="2"/>
    <s v="4227288844"/>
    <d v="2024-07-24T00:00:00"/>
    <n v="7"/>
    <x v="1"/>
    <n v="84960"/>
    <n v="84960"/>
    <n v="118"/>
    <x v="639"/>
    <s v="777354782"/>
  </r>
  <r>
    <s v="190000979"/>
    <s v="Piyaruwan Motors"/>
    <x v="2"/>
    <x v="2"/>
    <s v="4227288908"/>
    <d v="2024-07-24T00:00:00"/>
    <n v="7"/>
    <x v="1"/>
    <n v="944"/>
    <n v="944"/>
    <n v="118"/>
    <x v="326"/>
    <s v="777354782"/>
  </r>
  <r>
    <s v="190000979"/>
    <s v="Piyaruwan Motors"/>
    <x v="2"/>
    <x v="2"/>
    <s v="4227290486"/>
    <d v="2024-07-31T00:00:00"/>
    <n v="7"/>
    <x v="1"/>
    <n v="30005"/>
    <n v="30005"/>
    <n v="111"/>
    <x v="640"/>
    <s v="777354782"/>
  </r>
  <r>
    <s v="190000982"/>
    <s v="Regent Motors"/>
    <x v="2"/>
    <x v="2"/>
    <s v="4227195981"/>
    <d v="2021-12-15T00:00:00"/>
    <n v="12"/>
    <x v="4"/>
    <n v="19278"/>
    <n v="19278"/>
    <n v="1070"/>
    <x v="641"/>
    <s v="112330240"/>
  </r>
  <r>
    <s v="190000982"/>
    <s v="Regent Motors"/>
    <x v="2"/>
    <x v="2"/>
    <s v="4227253660"/>
    <d v="2023-09-08T00:00:00"/>
    <n v="9"/>
    <x v="0"/>
    <n v="6373"/>
    <n v="6373"/>
    <n v="438"/>
    <x v="642"/>
    <s v="112330240"/>
  </r>
  <r>
    <s v="190000982"/>
    <s v="Regent Motors"/>
    <x v="2"/>
    <x v="2"/>
    <s v="4227304394"/>
    <d v="2024-10-31T00:00:00"/>
    <n v="10"/>
    <x v="1"/>
    <n v="10340"/>
    <n v="10340"/>
    <n v="19"/>
    <x v="3"/>
    <s v="112330240"/>
  </r>
  <r>
    <s v="190000982"/>
    <s v="Regent Motors"/>
    <x v="2"/>
    <x v="2"/>
    <s v="5227015949"/>
    <d v="2024-11-18T00:00:00"/>
    <n v="11"/>
    <x v="1"/>
    <n v="-10323"/>
    <n v="-10323"/>
    <n v="1"/>
    <x v="3"/>
    <s v="112330240"/>
  </r>
  <r>
    <s v="190000986"/>
    <s v="Ruwan Motors"/>
    <x v="2"/>
    <x v="2"/>
    <s v="212967"/>
    <d v="2023-11-17T00:00:00"/>
    <n v="11"/>
    <x v="0"/>
    <n v="-120"/>
    <n v="-120"/>
    <n v="368"/>
    <x v="643"/>
    <s v="714801664"/>
  </r>
  <r>
    <s v="190000986"/>
    <s v="Ruwan Motors"/>
    <x v="2"/>
    <x v="2"/>
    <s v="4227264028"/>
    <d v="2023-12-07T00:00:00"/>
    <n v="12"/>
    <x v="0"/>
    <n v="18216"/>
    <n v="18216"/>
    <n v="348"/>
    <x v="644"/>
    <s v="714801664"/>
  </r>
  <r>
    <s v="190000988"/>
    <s v="Sena Auto Parts (Pvt) Ltd"/>
    <x v="2"/>
    <x v="2"/>
    <s v=""/>
    <d v="2021-11-16T00:00:00"/>
    <n v="11"/>
    <x v="4"/>
    <n v="-345"/>
    <n v="-345"/>
    <n v="1099"/>
    <x v="587"/>
    <s v="112430288"/>
  </r>
  <r>
    <s v="190000988"/>
    <s v="Sena Auto Parts (Pvt) Ltd"/>
    <x v="2"/>
    <x v="2"/>
    <s v="226592"/>
    <d v="2024-06-14T00:00:00"/>
    <n v="6"/>
    <x v="1"/>
    <n v="-351"/>
    <n v="-351"/>
    <n v="158"/>
    <x v="645"/>
    <s v="112430288"/>
  </r>
  <r>
    <s v="190000988"/>
    <s v="Sena Auto Parts (Pvt) Ltd"/>
    <x v="2"/>
    <x v="2"/>
    <s v="234555"/>
    <d v="2024-09-04T00:00:00"/>
    <n v="9"/>
    <x v="1"/>
    <n v="-12"/>
    <n v="-12"/>
    <n v="76"/>
    <x v="3"/>
    <s v="112430288"/>
  </r>
  <r>
    <s v="190000989"/>
    <s v="Senarath Motors"/>
    <x v="2"/>
    <x v="2"/>
    <s v="4227216253"/>
    <d v="2022-07-30T00:00:00"/>
    <n v="7"/>
    <x v="6"/>
    <n v="7000"/>
    <n v="560"/>
    <n v="843"/>
    <x v="646"/>
    <s v="0112430672"/>
  </r>
  <r>
    <s v="190000989"/>
    <s v="Senarath Motors"/>
    <x v="2"/>
    <x v="2"/>
    <s v="4227231607"/>
    <d v="2023-01-26T00:00:00"/>
    <n v="1"/>
    <x v="0"/>
    <n v="23460"/>
    <n v="7460"/>
    <n v="663"/>
    <x v="647"/>
    <s v="0112430672"/>
  </r>
  <r>
    <s v="190000989"/>
    <s v="Senarath Motors"/>
    <x v="2"/>
    <x v="2"/>
    <s v="4227298477"/>
    <d v="2024-09-30T00:00:00"/>
    <n v="9"/>
    <x v="1"/>
    <n v="31152"/>
    <n v="31152"/>
    <n v="50"/>
    <x v="3"/>
    <s v="0112430672"/>
  </r>
  <r>
    <s v="190000996"/>
    <s v="V D P Fernando &amp; Co. Ltd"/>
    <x v="2"/>
    <x v="2"/>
    <s v="178764/635213"/>
    <d v="2022-04-19T00:00:00"/>
    <n v="4"/>
    <x v="6"/>
    <n v="-4277"/>
    <n v="-141.1"/>
    <n v="945"/>
    <x v="648"/>
    <s v="112692166"/>
  </r>
  <r>
    <s v="190000996"/>
    <s v="V D P Fernando &amp; Co. Ltd"/>
    <x v="2"/>
    <x v="2"/>
    <s v="4227284030"/>
    <d v="2024-06-17T00:00:00"/>
    <n v="6"/>
    <x v="1"/>
    <n v="14750"/>
    <n v="14750"/>
    <n v="155"/>
    <x v="649"/>
    <s v="112692166"/>
  </r>
  <r>
    <s v="190000996"/>
    <s v="V D P Fernando &amp; Co. Ltd"/>
    <x v="2"/>
    <x v="2"/>
    <s v="4227296385"/>
    <d v="2024-09-13T00:00:00"/>
    <n v="9"/>
    <x v="1"/>
    <n v="97704"/>
    <n v="97704"/>
    <n v="67"/>
    <x v="3"/>
    <s v="112692166"/>
  </r>
  <r>
    <s v="190000996"/>
    <s v="V D P Fernando &amp; Co. Ltd"/>
    <x v="2"/>
    <x v="2"/>
    <s v="4227298193"/>
    <d v="2024-09-28T00:00:00"/>
    <n v="9"/>
    <x v="1"/>
    <n v="124254"/>
    <n v="124254"/>
    <n v="52"/>
    <x v="3"/>
    <s v="112692166"/>
  </r>
  <r>
    <s v="190000996"/>
    <s v="V D P Fernando &amp; Co. Ltd"/>
    <x v="2"/>
    <x v="2"/>
    <s v="4227298230"/>
    <d v="2024-09-30T00:00:00"/>
    <n v="9"/>
    <x v="1"/>
    <n v="5074"/>
    <n v="5074"/>
    <n v="50"/>
    <x v="3"/>
    <s v="112692166"/>
  </r>
  <r>
    <s v="190000998"/>
    <s v="Weligama Motors"/>
    <x v="2"/>
    <x v="2"/>
    <s v="RTN CHQ - 581545"/>
    <d v="2023-04-04T00:00:00"/>
    <n v="4"/>
    <x v="0"/>
    <n v="123349"/>
    <n v="27078"/>
    <n v="595"/>
    <x v="650"/>
    <s v="112641168"/>
  </r>
  <r>
    <s v="190000998"/>
    <s v="Weligama Motors"/>
    <x v="2"/>
    <x v="2"/>
    <s v="4227223183"/>
    <d v="2022-10-19T00:00:00"/>
    <n v="10"/>
    <x v="6"/>
    <n v="4301"/>
    <n v="4301"/>
    <n v="762"/>
    <x v="651"/>
    <s v="112641168"/>
  </r>
  <r>
    <s v="190000998"/>
    <s v="Weligama Motors"/>
    <x v="2"/>
    <x v="2"/>
    <s v="4227227318"/>
    <d v="2022-12-05T00:00:00"/>
    <n v="12"/>
    <x v="6"/>
    <n v="7429"/>
    <n v="7429"/>
    <n v="715"/>
    <x v="652"/>
    <s v="112641168"/>
  </r>
  <r>
    <s v="190000998"/>
    <s v="Weligama Motors"/>
    <x v="2"/>
    <x v="2"/>
    <s v="4227227809"/>
    <d v="2022-12-14T00:00:00"/>
    <n v="12"/>
    <x v="6"/>
    <n v="6452"/>
    <n v="6452"/>
    <n v="706"/>
    <x v="653"/>
    <s v="112641168"/>
  </r>
  <r>
    <s v="190000998"/>
    <s v="Weligama Motors"/>
    <x v="2"/>
    <x v="2"/>
    <s v="4227269507"/>
    <d v="2024-01-30T00:00:00"/>
    <n v="1"/>
    <x v="1"/>
    <n v="72010"/>
    <n v="72010"/>
    <n v="294"/>
    <x v="654"/>
    <s v="112641168"/>
  </r>
  <r>
    <s v="190000998"/>
    <s v="Weligama Motors"/>
    <x v="2"/>
    <x v="2"/>
    <s v="4227285629"/>
    <d v="2024-06-28T00:00:00"/>
    <n v="6"/>
    <x v="1"/>
    <n v="27527"/>
    <n v="27527"/>
    <n v="144"/>
    <x v="516"/>
    <s v="112641168"/>
  </r>
  <r>
    <s v="190000998"/>
    <s v="Weligama Motors"/>
    <x v="2"/>
    <x v="2"/>
    <s v="4227285630"/>
    <d v="2024-06-28T00:00:00"/>
    <n v="6"/>
    <x v="1"/>
    <n v="131688"/>
    <n v="131688"/>
    <n v="144"/>
    <x v="655"/>
    <s v="112641168"/>
  </r>
  <r>
    <s v="190000998"/>
    <s v="Weligama Motors"/>
    <x v="2"/>
    <x v="2"/>
    <s v="4227292103"/>
    <d v="2024-08-14T00:00:00"/>
    <n v="8"/>
    <x v="1"/>
    <n v="7434"/>
    <n v="7434"/>
    <n v="97"/>
    <x v="328"/>
    <s v="112641168"/>
  </r>
  <r>
    <s v="190000999"/>
    <s v="Wickrama Motor Trading (Pvt) Ltd"/>
    <x v="2"/>
    <x v="2"/>
    <s v="4227235258"/>
    <d v="2023-02-28T00:00:00"/>
    <n v="2"/>
    <x v="0"/>
    <n v="120060"/>
    <n v="25060"/>
    <n v="630"/>
    <x v="656"/>
    <s v="112432928"/>
  </r>
  <r>
    <s v="190000999"/>
    <s v="Wickrama Motor Trading (Pvt) Ltd"/>
    <x v="2"/>
    <x v="2"/>
    <s v="4227245798"/>
    <d v="2023-06-29T00:00:00"/>
    <n v="6"/>
    <x v="0"/>
    <n v="16974"/>
    <n v="16974"/>
    <n v="509"/>
    <x v="657"/>
    <s v="112432928"/>
  </r>
  <r>
    <s v="190000999"/>
    <s v="Wickrama Motor Trading (Pvt) Ltd"/>
    <x v="2"/>
    <x v="2"/>
    <s v="4227296345"/>
    <d v="2024-09-13T00:00:00"/>
    <n v="9"/>
    <x v="1"/>
    <n v="62304"/>
    <n v="62304"/>
    <n v="67"/>
    <x v="3"/>
    <s v="112432928"/>
  </r>
  <r>
    <s v="190001035"/>
    <s v="B. D. S. G. Service Station (Pvt)"/>
    <x v="2"/>
    <x v="2"/>
    <s v="4227305548"/>
    <d v="2024-11-12T00:00:00"/>
    <n v="11"/>
    <x v="1"/>
    <n v="83043"/>
    <n v="83043"/>
    <n v="7"/>
    <x v="3"/>
    <s v="0114340874"/>
  </r>
  <r>
    <s v="190001063"/>
    <s v="Senok Trade Combine (Pvt) Ltd"/>
    <x v="2"/>
    <x v="2"/>
    <s v="225260 / 002903"/>
    <d v="2024-05-21T00:00:00"/>
    <n v="5"/>
    <x v="1"/>
    <n v="-2950"/>
    <n v="-2950"/>
    <n v="182"/>
    <x v="658"/>
    <s v="112473302"/>
  </r>
  <r>
    <s v="190001063"/>
    <s v="Senok Trade Combine (Pvt) Ltd"/>
    <x v="2"/>
    <x v="2"/>
    <s v="229941 / 003032"/>
    <d v="2024-07-29T00:00:00"/>
    <n v="7"/>
    <x v="1"/>
    <n v="-4567"/>
    <n v="-4567"/>
    <n v="113"/>
    <x v="659"/>
    <s v="112473302"/>
  </r>
  <r>
    <s v="190001063"/>
    <s v="Senok Trade Combine (Pvt) Ltd"/>
    <x v="2"/>
    <x v="2"/>
    <s v="4227093880"/>
    <d v="2019-02-12T00:00:00"/>
    <n v="2"/>
    <x v="5"/>
    <n v="9925"/>
    <n v="9925"/>
    <n v="2107"/>
    <x v="660"/>
    <s v="112473302"/>
  </r>
  <r>
    <s v="190001063"/>
    <s v="Senok Trade Combine (Pvt) Ltd"/>
    <x v="2"/>
    <x v="2"/>
    <s v="4227100153"/>
    <d v="2019-04-10T00:00:00"/>
    <n v="4"/>
    <x v="5"/>
    <n v="10764"/>
    <n v="2130"/>
    <n v="2050"/>
    <x v="661"/>
    <s v="112473302"/>
  </r>
  <r>
    <s v="190001063"/>
    <s v="Senok Trade Combine (Pvt) Ltd"/>
    <x v="2"/>
    <x v="2"/>
    <s v="4227201032"/>
    <d v="2022-01-26T00:00:00"/>
    <n v="1"/>
    <x v="6"/>
    <n v="14310"/>
    <n v="5875"/>
    <n v="1028"/>
    <x v="662"/>
    <s v="112473302"/>
  </r>
  <r>
    <s v="190001063"/>
    <s v="Senok Trade Combine (Pvt) Ltd"/>
    <x v="2"/>
    <x v="2"/>
    <s v="4227202736"/>
    <d v="2022-02-11T00:00:00"/>
    <n v="2"/>
    <x v="6"/>
    <n v="25272"/>
    <n v="25272"/>
    <n v="1012"/>
    <x v="663"/>
    <s v="112473302"/>
  </r>
  <r>
    <s v="190001063"/>
    <s v="Senok Trade Combine (Pvt) Ltd"/>
    <x v="2"/>
    <x v="2"/>
    <s v="4227208122"/>
    <d v="2022-03-28T00:00:00"/>
    <n v="3"/>
    <x v="6"/>
    <n v="2376"/>
    <n v="2376"/>
    <n v="967"/>
    <x v="42"/>
    <s v="112473302"/>
  </r>
  <r>
    <s v="190001063"/>
    <s v="Senok Trade Combine (Pvt) Ltd"/>
    <x v="2"/>
    <x v="2"/>
    <s v="4227272923"/>
    <d v="2024-02-29T00:00:00"/>
    <n v="2"/>
    <x v="1"/>
    <n v="51401"/>
    <n v="51401"/>
    <n v="264"/>
    <x v="664"/>
    <s v="112473302"/>
  </r>
  <r>
    <s v="190001063"/>
    <s v="Senok Trade Combine (Pvt) Ltd"/>
    <x v="2"/>
    <x v="2"/>
    <s v="4227272924"/>
    <d v="2024-02-29T00:00:00"/>
    <n v="2"/>
    <x v="1"/>
    <n v="51401"/>
    <n v="51401"/>
    <n v="264"/>
    <x v="664"/>
    <s v="112473302"/>
  </r>
  <r>
    <s v="190001063"/>
    <s v="Senok Trade Combine (Pvt) Ltd"/>
    <x v="2"/>
    <x v="2"/>
    <s v="4227272925"/>
    <d v="2024-02-29T00:00:00"/>
    <n v="2"/>
    <x v="1"/>
    <n v="51401"/>
    <n v="51401"/>
    <n v="264"/>
    <x v="664"/>
    <s v="112473302"/>
  </r>
  <r>
    <s v="190001063"/>
    <s v="Senok Trade Combine (Pvt) Ltd"/>
    <x v="2"/>
    <x v="2"/>
    <s v="4227285788"/>
    <d v="2024-06-29T00:00:00"/>
    <n v="6"/>
    <x v="1"/>
    <n v="11328"/>
    <n v="11328"/>
    <n v="143"/>
    <x v="449"/>
    <s v="112473302"/>
  </r>
  <r>
    <s v="190001063"/>
    <s v="Senok Trade Combine (Pvt) Ltd"/>
    <x v="2"/>
    <x v="2"/>
    <s v="4227294408"/>
    <d v="2024-08-30T00:00:00"/>
    <n v="8"/>
    <x v="1"/>
    <n v="43660"/>
    <n v="33878"/>
    <n v="81"/>
    <x v="3"/>
    <s v="112473302"/>
  </r>
  <r>
    <s v="190001063"/>
    <s v="Senok Trade Combine (Pvt) Ltd"/>
    <x v="2"/>
    <x v="2"/>
    <s v="4227297309"/>
    <d v="2024-09-20T00:00:00"/>
    <n v="9"/>
    <x v="1"/>
    <n v="9293"/>
    <n v="9293"/>
    <n v="60"/>
    <x v="3"/>
    <s v="112473302"/>
  </r>
  <r>
    <s v="190001063"/>
    <s v="Senok Trade Combine (Pvt) Ltd"/>
    <x v="2"/>
    <x v="2"/>
    <s v="4227298505"/>
    <d v="2024-09-30T00:00:00"/>
    <n v="9"/>
    <x v="1"/>
    <n v="21948"/>
    <n v="21948"/>
    <n v="50"/>
    <x v="3"/>
    <s v="112473302"/>
  </r>
  <r>
    <s v="190001063"/>
    <s v="Senok Trade Combine (Pvt) Ltd"/>
    <x v="2"/>
    <x v="2"/>
    <s v="4227299478"/>
    <d v="2024-10-04T00:00:00"/>
    <n v="10"/>
    <x v="1"/>
    <n v="28025"/>
    <n v="28025"/>
    <n v="46"/>
    <x v="3"/>
    <s v="112473302"/>
  </r>
  <r>
    <s v="190001063"/>
    <s v="Senok Trade Combine (Pvt) Ltd"/>
    <x v="2"/>
    <x v="2"/>
    <s v="4227299479"/>
    <d v="2024-10-04T00:00:00"/>
    <n v="10"/>
    <x v="1"/>
    <n v="43660"/>
    <n v="43660"/>
    <n v="46"/>
    <x v="3"/>
    <s v="112473302"/>
  </r>
  <r>
    <s v="190001063"/>
    <s v="Senok Trade Combine (Pvt) Ltd"/>
    <x v="2"/>
    <x v="2"/>
    <s v="4227303877"/>
    <d v="2024-10-31T00:00:00"/>
    <n v="10"/>
    <x v="1"/>
    <n v="15812"/>
    <n v="15812"/>
    <n v="19"/>
    <x v="3"/>
    <s v="112473302"/>
  </r>
  <r>
    <s v="190001063"/>
    <s v="Senok Trade Combine (Pvt) Ltd"/>
    <x v="2"/>
    <x v="2"/>
    <s v="4227304097"/>
    <d v="2024-10-31T00:00:00"/>
    <n v="10"/>
    <x v="1"/>
    <n v="141600"/>
    <n v="141600"/>
    <n v="19"/>
    <x v="3"/>
    <s v="112473302"/>
  </r>
  <r>
    <s v="190001063"/>
    <s v="Senok Trade Combine (Pvt) Ltd"/>
    <x v="2"/>
    <x v="2"/>
    <s v="4227304118"/>
    <d v="2024-10-31T00:00:00"/>
    <n v="10"/>
    <x v="1"/>
    <n v="49560"/>
    <n v="49560"/>
    <n v="19"/>
    <x v="3"/>
    <s v="112473302"/>
  </r>
  <r>
    <s v="190001063"/>
    <s v="Senok Trade Combine (Pvt) Ltd"/>
    <x v="2"/>
    <x v="2"/>
    <s v="4227304119"/>
    <d v="2024-10-31T00:00:00"/>
    <n v="10"/>
    <x v="1"/>
    <n v="49560"/>
    <n v="49560"/>
    <n v="19"/>
    <x v="3"/>
    <s v="112473302"/>
  </r>
  <r>
    <s v="190001063"/>
    <s v="Senok Trade Combine (Pvt) Ltd"/>
    <x v="2"/>
    <x v="2"/>
    <s v="4227305693"/>
    <d v="2024-11-13T00:00:00"/>
    <n v="11"/>
    <x v="1"/>
    <n v="52109"/>
    <n v="52109"/>
    <n v="6"/>
    <x v="3"/>
    <s v="112473302"/>
  </r>
  <r>
    <s v="190001063"/>
    <s v="Senok Trade Combine (Pvt) Ltd"/>
    <x v="2"/>
    <x v="2"/>
    <s v="4227305694"/>
    <d v="2024-11-13T00:00:00"/>
    <n v="11"/>
    <x v="1"/>
    <n v="42480"/>
    <n v="42480"/>
    <n v="6"/>
    <x v="3"/>
    <s v="112473302"/>
  </r>
  <r>
    <s v="190001063"/>
    <s v="Senok Trade Combine (Pvt) Ltd"/>
    <x v="2"/>
    <x v="2"/>
    <s v="5227011694"/>
    <d v="2022-06-17T00:00:00"/>
    <n v="6"/>
    <x v="6"/>
    <n v="-3488"/>
    <n v="-3488"/>
    <n v="886"/>
    <x v="665"/>
    <s v="112473302"/>
  </r>
  <r>
    <s v="190001074"/>
    <s v="Amna Auto Care"/>
    <x v="2"/>
    <x v="2"/>
    <s v="4227197547"/>
    <d v="2021-12-30T00:00:00"/>
    <n v="12"/>
    <x v="4"/>
    <n v="8566"/>
    <n v="893"/>
    <n v="1055"/>
    <x v="666"/>
    <s v="114333888"/>
  </r>
  <r>
    <s v="190001074"/>
    <s v="Amna Auto Care"/>
    <x v="2"/>
    <x v="2"/>
    <s v="4227208166"/>
    <d v="2022-03-28T00:00:00"/>
    <n v="3"/>
    <x v="6"/>
    <n v="9477"/>
    <n v="9477"/>
    <n v="967"/>
    <x v="667"/>
    <s v="114333888"/>
  </r>
  <r>
    <s v="190001074"/>
    <s v="Amna Auto Care"/>
    <x v="2"/>
    <x v="2"/>
    <s v="4227272826"/>
    <d v="2024-02-29T00:00:00"/>
    <n v="2"/>
    <x v="1"/>
    <n v="196895"/>
    <n v="196895"/>
    <n v="264"/>
    <x v="668"/>
    <s v="114333888"/>
  </r>
  <r>
    <s v="190001074"/>
    <s v="Amna Auto Care"/>
    <x v="2"/>
    <x v="2"/>
    <s v="4227298478"/>
    <d v="2024-09-30T00:00:00"/>
    <n v="9"/>
    <x v="1"/>
    <n v="55245"/>
    <n v="55245"/>
    <n v="50"/>
    <x v="3"/>
    <s v="114333888"/>
  </r>
  <r>
    <s v="190001074"/>
    <s v="Amna Auto Care"/>
    <x v="2"/>
    <x v="2"/>
    <s v="4227298491"/>
    <d v="2024-09-30T00:00:00"/>
    <n v="9"/>
    <x v="1"/>
    <n v="157176"/>
    <n v="157176"/>
    <n v="50"/>
    <x v="3"/>
    <s v="114333888"/>
  </r>
  <r>
    <s v="190001074"/>
    <s v="Amna Auto Care"/>
    <x v="2"/>
    <x v="2"/>
    <s v="4227304395"/>
    <d v="2024-10-31T00:00:00"/>
    <n v="10"/>
    <x v="1"/>
    <n v="22125"/>
    <n v="22125"/>
    <n v="19"/>
    <x v="3"/>
    <s v="114333888"/>
  </r>
  <r>
    <s v="190001074"/>
    <s v="Amna Auto Care"/>
    <x v="2"/>
    <x v="2"/>
    <s v="4227305904"/>
    <d v="2024-11-16T00:00:00"/>
    <n v="11"/>
    <x v="1"/>
    <n v="18125"/>
    <n v="18125"/>
    <n v="3"/>
    <x v="3"/>
    <s v="114333888"/>
  </r>
  <r>
    <s v="190001074"/>
    <s v="Amna Auto Care"/>
    <x v="2"/>
    <x v="2"/>
    <s v="5227015911"/>
    <d v="2024-11-12T00:00:00"/>
    <n v="11"/>
    <x v="1"/>
    <n v="-196895"/>
    <n v="-196895"/>
    <n v="7"/>
    <x v="3"/>
    <s v="114333888"/>
  </r>
  <r>
    <s v="190001076"/>
    <s v="New Smart Service Center"/>
    <x v="2"/>
    <x v="2"/>
    <s v="4227208741"/>
    <d v="2022-03-31T00:00:00"/>
    <n v="3"/>
    <x v="6"/>
    <n v="25920"/>
    <n v="15577"/>
    <n v="964"/>
    <x v="669"/>
    <s v="112527743"/>
  </r>
  <r>
    <s v="190001076"/>
    <s v="New Smart Service Center"/>
    <x v="2"/>
    <x v="2"/>
    <s v="4227268016"/>
    <d v="2024-01-17T00:00:00"/>
    <n v="1"/>
    <x v="1"/>
    <n v="19116"/>
    <n v="19116"/>
    <n v="307"/>
    <x v="670"/>
    <s v="112527743"/>
  </r>
  <r>
    <s v="190001076"/>
    <s v="New Smart Service Center"/>
    <x v="2"/>
    <x v="2"/>
    <s v="4227272831"/>
    <d v="2024-02-29T00:00:00"/>
    <n v="2"/>
    <x v="1"/>
    <n v="15930"/>
    <n v="348"/>
    <n v="264"/>
    <x v="671"/>
    <s v="112527743"/>
  </r>
  <r>
    <s v="190001076"/>
    <s v="New Smart Service Center"/>
    <x v="2"/>
    <x v="2"/>
    <s v="4227272832"/>
    <d v="2024-02-29T00:00:00"/>
    <n v="2"/>
    <x v="1"/>
    <n v="14337"/>
    <n v="14337"/>
    <n v="264"/>
    <x v="341"/>
    <s v="112527743"/>
  </r>
  <r>
    <s v="190001076"/>
    <s v="New Smart Service Center"/>
    <x v="2"/>
    <x v="2"/>
    <s v="4227273030"/>
    <d v="2024-02-29T00:00:00"/>
    <n v="2"/>
    <x v="1"/>
    <n v="18054"/>
    <n v="18054"/>
    <n v="264"/>
    <x v="289"/>
    <s v="112527743"/>
  </r>
  <r>
    <s v="190001076"/>
    <s v="New Smart Service Center"/>
    <x v="2"/>
    <x v="2"/>
    <s v="4227280692"/>
    <d v="2024-05-14T00:00:00"/>
    <n v="5"/>
    <x v="1"/>
    <n v="200718"/>
    <n v="129291"/>
    <n v="189"/>
    <x v="672"/>
    <s v="112527743"/>
  </r>
  <r>
    <s v="190001076"/>
    <s v="New Smart Service Center"/>
    <x v="2"/>
    <x v="2"/>
    <s v="4227280892"/>
    <d v="2024-05-17T00:00:00"/>
    <n v="5"/>
    <x v="1"/>
    <n v="23600"/>
    <n v="23600"/>
    <n v="186"/>
    <x v="673"/>
    <s v="112527743"/>
  </r>
  <r>
    <s v="190001076"/>
    <s v="New Smart Service Center"/>
    <x v="2"/>
    <x v="2"/>
    <s v="4227282537"/>
    <d v="2024-05-31T00:00:00"/>
    <n v="5"/>
    <x v="1"/>
    <n v="41536"/>
    <n v="41536"/>
    <n v="172"/>
    <x v="674"/>
    <s v="112527743"/>
  </r>
  <r>
    <s v="190001076"/>
    <s v="New Smart Service Center"/>
    <x v="2"/>
    <x v="2"/>
    <s v="4227284729"/>
    <d v="2024-06-25T00:00:00"/>
    <n v="6"/>
    <x v="1"/>
    <n v="141600"/>
    <n v="141600"/>
    <n v="147"/>
    <x v="675"/>
    <s v="112527743"/>
  </r>
  <r>
    <s v="190001076"/>
    <s v="New Smart Service Center"/>
    <x v="2"/>
    <x v="2"/>
    <s v="4227284730"/>
    <d v="2024-06-25T00:00:00"/>
    <n v="6"/>
    <x v="1"/>
    <n v="46020"/>
    <n v="46020"/>
    <n v="147"/>
    <x v="676"/>
    <s v="112527743"/>
  </r>
  <r>
    <s v="190001076"/>
    <s v="New Smart Service Center"/>
    <x v="2"/>
    <x v="2"/>
    <s v="4227284731"/>
    <d v="2024-06-25T00:00:00"/>
    <n v="6"/>
    <x v="1"/>
    <n v="17110"/>
    <n v="17110"/>
    <n v="147"/>
    <x v="677"/>
    <s v="112527743"/>
  </r>
  <r>
    <s v="190001076"/>
    <s v="New Smart Service Center"/>
    <x v="2"/>
    <x v="2"/>
    <s v="4227284732"/>
    <d v="2024-06-25T00:00:00"/>
    <n v="6"/>
    <x v="1"/>
    <n v="32285"/>
    <n v="32285"/>
    <n v="147"/>
    <x v="334"/>
    <s v="112527743"/>
  </r>
  <r>
    <s v="190001076"/>
    <s v="New Smart Service Center"/>
    <x v="2"/>
    <x v="2"/>
    <s v="4227284733"/>
    <d v="2024-06-25T00:00:00"/>
    <n v="6"/>
    <x v="1"/>
    <n v="37666"/>
    <n v="37666"/>
    <n v="147"/>
    <x v="678"/>
    <s v="112527743"/>
  </r>
  <r>
    <s v="190001076"/>
    <s v="New Smart Service Center"/>
    <x v="2"/>
    <x v="2"/>
    <s v="4227284760"/>
    <d v="2024-06-25T00:00:00"/>
    <n v="6"/>
    <x v="1"/>
    <n v="18833"/>
    <n v="18833"/>
    <n v="147"/>
    <x v="679"/>
    <s v="112527743"/>
  </r>
  <r>
    <s v="190001076"/>
    <s v="New Smart Service Center"/>
    <x v="2"/>
    <x v="2"/>
    <s v="4227284794"/>
    <d v="2024-06-25T00:00:00"/>
    <n v="6"/>
    <x v="1"/>
    <n v="297360"/>
    <n v="197577"/>
    <n v="147"/>
    <x v="680"/>
    <s v="112527743"/>
  </r>
  <r>
    <s v="190001076"/>
    <s v="New Smart Service Center"/>
    <x v="2"/>
    <x v="2"/>
    <s v="4227285036"/>
    <d v="2024-06-27T00:00:00"/>
    <n v="6"/>
    <x v="1"/>
    <n v="2950"/>
    <n v="2950"/>
    <n v="145"/>
    <x v="395"/>
    <s v="112527743"/>
  </r>
  <r>
    <s v="190001076"/>
    <s v="New Smart Service Center"/>
    <x v="2"/>
    <x v="2"/>
    <s v="4227285249"/>
    <d v="2024-06-28T00:00:00"/>
    <n v="6"/>
    <x v="1"/>
    <n v="28320"/>
    <n v="28320"/>
    <n v="144"/>
    <x v="353"/>
    <s v="112527743"/>
  </r>
  <r>
    <s v="190001076"/>
    <s v="New Smart Service Center"/>
    <x v="2"/>
    <x v="2"/>
    <s v="4227286057"/>
    <d v="2024-06-30T00:00:00"/>
    <n v="6"/>
    <x v="1"/>
    <n v="32285"/>
    <n v="32285"/>
    <n v="142"/>
    <x v="334"/>
    <s v="112527743"/>
  </r>
  <r>
    <s v="190001076"/>
    <s v="New Smart Service Center"/>
    <x v="2"/>
    <x v="2"/>
    <s v="4227286058"/>
    <d v="2024-06-30T00:00:00"/>
    <n v="6"/>
    <x v="1"/>
    <n v="32285"/>
    <n v="32285"/>
    <n v="142"/>
    <x v="334"/>
    <s v="112527743"/>
  </r>
  <r>
    <s v="190001076"/>
    <s v="New Smart Service Center"/>
    <x v="2"/>
    <x v="2"/>
    <s v="4227286059"/>
    <d v="2024-06-30T00:00:00"/>
    <n v="6"/>
    <x v="1"/>
    <n v="32285"/>
    <n v="32285"/>
    <n v="142"/>
    <x v="334"/>
    <s v="112527743"/>
  </r>
  <r>
    <s v="190001076"/>
    <s v="New Smart Service Center"/>
    <x v="2"/>
    <x v="2"/>
    <s v="4227289991"/>
    <d v="2024-07-31T00:00:00"/>
    <n v="7"/>
    <x v="1"/>
    <n v="18125"/>
    <n v="18125"/>
    <n v="111"/>
    <x v="681"/>
    <s v="112527743"/>
  </r>
  <r>
    <s v="190001076"/>
    <s v="New Smart Service Center"/>
    <x v="2"/>
    <x v="2"/>
    <s v="4227290010"/>
    <d v="2024-07-31T00:00:00"/>
    <n v="7"/>
    <x v="1"/>
    <n v="12479"/>
    <n v="12479"/>
    <n v="111"/>
    <x v="682"/>
    <s v="112527743"/>
  </r>
  <r>
    <s v="190001076"/>
    <s v="New Smart Service Center"/>
    <x v="2"/>
    <x v="2"/>
    <s v="4227290011"/>
    <d v="2024-07-31T00:00:00"/>
    <n v="7"/>
    <x v="1"/>
    <n v="15930"/>
    <n v="15930"/>
    <n v="111"/>
    <x v="683"/>
    <s v="112527743"/>
  </r>
  <r>
    <s v="190001076"/>
    <s v="New Smart Service Center"/>
    <x v="2"/>
    <x v="2"/>
    <s v="4227290018"/>
    <d v="2024-07-31T00:00:00"/>
    <n v="7"/>
    <x v="1"/>
    <n v="15930"/>
    <n v="15930"/>
    <n v="111"/>
    <x v="683"/>
    <s v="112527743"/>
  </r>
  <r>
    <s v="190001076"/>
    <s v="New Smart Service Center"/>
    <x v="2"/>
    <x v="2"/>
    <s v="4227290019"/>
    <d v="2024-07-31T00:00:00"/>
    <n v="7"/>
    <x v="1"/>
    <n v="19116"/>
    <n v="19116"/>
    <n v="111"/>
    <x v="670"/>
    <s v="112527743"/>
  </r>
  <r>
    <s v="190001076"/>
    <s v="New Smart Service Center"/>
    <x v="2"/>
    <x v="2"/>
    <s v="4227290020"/>
    <d v="2024-07-31T00:00:00"/>
    <n v="7"/>
    <x v="1"/>
    <n v="19116"/>
    <n v="19116"/>
    <n v="111"/>
    <x v="670"/>
    <s v="112527743"/>
  </r>
  <r>
    <s v="190001076"/>
    <s v="New Smart Service Center"/>
    <x v="2"/>
    <x v="2"/>
    <s v="4227290149"/>
    <d v="2024-07-31T00:00:00"/>
    <n v="7"/>
    <x v="1"/>
    <n v="6608"/>
    <n v="6608"/>
    <n v="111"/>
    <x v="684"/>
    <s v="112527743"/>
  </r>
  <r>
    <s v="190001076"/>
    <s v="New Smart Service Center"/>
    <x v="2"/>
    <x v="2"/>
    <s v="4227291728"/>
    <d v="2024-08-12T00:00:00"/>
    <n v="8"/>
    <x v="1"/>
    <n v="94400"/>
    <n v="94400"/>
    <n v="99"/>
    <x v="685"/>
    <s v="112527743"/>
  </r>
  <r>
    <s v="190001076"/>
    <s v="New Smart Service Center"/>
    <x v="2"/>
    <x v="2"/>
    <s v="4227292572"/>
    <d v="2024-08-20T00:00:00"/>
    <n v="8"/>
    <x v="1"/>
    <n v="17824"/>
    <n v="17824"/>
    <n v="91"/>
    <x v="686"/>
    <s v="112527743"/>
  </r>
  <r>
    <s v="190001076"/>
    <s v="New Smart Service Center"/>
    <x v="2"/>
    <x v="2"/>
    <s v="4227292574"/>
    <d v="2024-08-20T00:00:00"/>
    <n v="8"/>
    <x v="1"/>
    <n v="47082"/>
    <n v="0"/>
    <n v="91"/>
    <x v="345"/>
    <s v="112527743"/>
  </r>
  <r>
    <s v="190001076"/>
    <s v="New Smart Service Center"/>
    <x v="2"/>
    <x v="2"/>
    <s v="4227292587"/>
    <d v="2024-08-20T00:00:00"/>
    <n v="8"/>
    <x v="1"/>
    <n v="12058"/>
    <n v="12058"/>
    <n v="91"/>
    <x v="687"/>
    <s v="112527743"/>
  </r>
  <r>
    <s v="190001076"/>
    <s v="New Smart Service Center"/>
    <x v="2"/>
    <x v="2"/>
    <s v="4227292588"/>
    <d v="2024-08-20T00:00:00"/>
    <n v="8"/>
    <x v="1"/>
    <n v="14337"/>
    <n v="14337"/>
    <n v="91"/>
    <x v="341"/>
    <s v="112527743"/>
  </r>
  <r>
    <s v="190001076"/>
    <s v="New Smart Service Center"/>
    <x v="2"/>
    <x v="2"/>
    <s v="4227292822"/>
    <d v="2024-08-21T00:00:00"/>
    <n v="8"/>
    <x v="1"/>
    <n v="14455"/>
    <n v="14455"/>
    <n v="90"/>
    <x v="688"/>
    <s v="112527743"/>
  </r>
  <r>
    <s v="190001076"/>
    <s v="New Smart Service Center"/>
    <x v="2"/>
    <x v="2"/>
    <s v="4227294211"/>
    <d v="2024-08-29T00:00:00"/>
    <n v="8"/>
    <x v="1"/>
    <n v="62446"/>
    <n v="62446"/>
    <n v="82"/>
    <x v="3"/>
    <s v="112527743"/>
  </r>
  <r>
    <s v="190001076"/>
    <s v="New Smart Service Center"/>
    <x v="2"/>
    <x v="2"/>
    <s v="4227294887"/>
    <d v="2024-08-31T00:00:00"/>
    <n v="8"/>
    <x v="1"/>
    <n v="32745"/>
    <n v="32745"/>
    <n v="80"/>
    <x v="3"/>
    <s v="112527743"/>
  </r>
  <r>
    <s v="190001076"/>
    <s v="New Smart Service Center"/>
    <x v="2"/>
    <x v="2"/>
    <s v="4227295012"/>
    <d v="2024-08-31T00:00:00"/>
    <n v="8"/>
    <x v="1"/>
    <n v="118000"/>
    <n v="118000"/>
    <n v="80"/>
    <x v="3"/>
    <s v="112527743"/>
  </r>
  <r>
    <s v="190001076"/>
    <s v="New Smart Service Center"/>
    <x v="2"/>
    <x v="2"/>
    <s v="4227295048"/>
    <d v="2024-08-31T00:00:00"/>
    <n v="8"/>
    <x v="1"/>
    <n v="271400"/>
    <n v="271400"/>
    <n v="80"/>
    <x v="3"/>
    <s v="112527743"/>
  </r>
  <r>
    <s v="190001076"/>
    <s v="New Smart Service Center"/>
    <x v="2"/>
    <x v="2"/>
    <s v="4227304396"/>
    <d v="2024-10-31T00:00:00"/>
    <n v="10"/>
    <x v="1"/>
    <n v="36108"/>
    <n v="36108"/>
    <n v="19"/>
    <x v="3"/>
    <s v="112527743"/>
  </r>
  <r>
    <s v="190001076"/>
    <s v="New Smart Service Center"/>
    <x v="2"/>
    <x v="2"/>
    <s v="4227304397"/>
    <d v="2024-10-31T00:00:00"/>
    <n v="10"/>
    <x v="1"/>
    <n v="85757"/>
    <n v="85757"/>
    <n v="19"/>
    <x v="3"/>
    <s v="112527743"/>
  </r>
  <r>
    <s v="190001076"/>
    <s v="New Smart Service Center"/>
    <x v="2"/>
    <x v="2"/>
    <s v="4227304398"/>
    <d v="2024-10-31T00:00:00"/>
    <n v="10"/>
    <x v="1"/>
    <n v="87084"/>
    <n v="87084"/>
    <n v="19"/>
    <x v="3"/>
    <s v="112527743"/>
  </r>
  <r>
    <s v="190001076"/>
    <s v="New Smart Service Center"/>
    <x v="2"/>
    <x v="2"/>
    <s v="4227304399"/>
    <d v="2024-10-31T00:00:00"/>
    <n v="10"/>
    <x v="1"/>
    <n v="43542"/>
    <n v="43542"/>
    <n v="19"/>
    <x v="3"/>
    <s v="112527743"/>
  </r>
  <r>
    <s v="190001076"/>
    <s v="New Smart Service Center"/>
    <x v="2"/>
    <x v="2"/>
    <s v="4227304571"/>
    <d v="2024-11-01T00:00:00"/>
    <n v="11"/>
    <x v="1"/>
    <n v="118000"/>
    <n v="118000"/>
    <n v="18"/>
    <x v="3"/>
    <s v="112527743"/>
  </r>
  <r>
    <s v="190001078"/>
    <s v="Prasad Auto Collision Repair Center"/>
    <x v="2"/>
    <x v="2"/>
    <s v="186055/805694"/>
    <d v="2022-08-18T00:00:00"/>
    <n v="8"/>
    <x v="6"/>
    <n v="-4686"/>
    <n v="-1236"/>
    <n v="824"/>
    <x v="689"/>
    <s v="777681787"/>
  </r>
  <r>
    <s v="190001078"/>
    <s v="Prasad Auto Collision Repair Center"/>
    <x v="2"/>
    <x v="2"/>
    <s v="4227291900"/>
    <d v="2024-08-13T00:00:00"/>
    <n v="8"/>
    <x v="1"/>
    <n v="37329"/>
    <n v="37329"/>
    <n v="98"/>
    <x v="690"/>
    <s v="777681787"/>
  </r>
  <r>
    <s v="190001078"/>
    <s v="Prasad Auto Collision Repair Center"/>
    <x v="2"/>
    <x v="2"/>
    <s v="4227296150"/>
    <d v="2024-09-12T00:00:00"/>
    <n v="9"/>
    <x v="1"/>
    <n v="33984"/>
    <n v="0"/>
    <n v="68"/>
    <x v="3"/>
    <s v="777681787"/>
  </r>
  <r>
    <s v="190001078"/>
    <s v="Prasad Auto Collision Repair Center"/>
    <x v="2"/>
    <x v="2"/>
    <s v="4227298580"/>
    <d v="2024-09-30T00:00:00"/>
    <n v="9"/>
    <x v="1"/>
    <n v="18231"/>
    <n v="18231"/>
    <n v="50"/>
    <x v="3"/>
    <s v="777681787"/>
  </r>
  <r>
    <s v="190001079"/>
    <s v="R. R. Automobile Center"/>
    <x v="2"/>
    <x v="2"/>
    <s v="CR-15-0458"/>
    <d v="2015-04-16T00:00:00"/>
    <n v="4"/>
    <x v="2"/>
    <n v="-577.5"/>
    <n v="-577.5"/>
    <n v="3505"/>
    <x v="691"/>
    <s v="770128157"/>
  </r>
  <r>
    <s v="190001079"/>
    <s v="R. R. Automobile Center"/>
    <x v="2"/>
    <x v="2"/>
    <s v="4227296331"/>
    <d v="2024-09-13T00:00:00"/>
    <n v="9"/>
    <x v="1"/>
    <n v="149317"/>
    <n v="149317"/>
    <n v="67"/>
    <x v="3"/>
    <s v="770128157"/>
  </r>
  <r>
    <s v="190001088"/>
    <s v="Sri Palee Oil Mart"/>
    <x v="2"/>
    <x v="2"/>
    <s v="4227286846"/>
    <d v="2024-07-10T00:00:00"/>
    <n v="7"/>
    <x v="1"/>
    <n v="30255"/>
    <n v="30255"/>
    <n v="132"/>
    <x v="692"/>
    <s v="0773489934"/>
  </r>
  <r>
    <s v="190001088"/>
    <s v="Sri Palee Oil Mart"/>
    <x v="2"/>
    <x v="2"/>
    <s v="4227300943"/>
    <d v="2024-10-16T00:00:00"/>
    <n v="10"/>
    <x v="1"/>
    <n v="104784"/>
    <n v="104784"/>
    <n v="34"/>
    <x v="3"/>
    <s v="0773489934"/>
  </r>
  <r>
    <s v="190001088"/>
    <s v="Sri Palee Oil Mart"/>
    <x v="2"/>
    <x v="2"/>
    <s v="4227300944"/>
    <d v="2024-10-16T00:00:00"/>
    <n v="10"/>
    <x v="1"/>
    <n v="39237"/>
    <n v="39237"/>
    <n v="34"/>
    <x v="3"/>
    <s v="0773489934"/>
  </r>
  <r>
    <s v="190003098"/>
    <s v="Ranjith Motors ( Pvt ) Ltd"/>
    <x v="2"/>
    <x v="2"/>
    <s v="4227088782"/>
    <d v="2018-12-21T00:00:00"/>
    <n v="12"/>
    <x v="2"/>
    <n v="14749"/>
    <n v="2098"/>
    <n v="2160"/>
    <x v="693"/>
    <s v="112333323"/>
  </r>
  <r>
    <s v="190003367"/>
    <s v="Vishwa Motors"/>
    <x v="2"/>
    <x v="2"/>
    <s v="4227298495"/>
    <d v="2024-09-30T00:00:00"/>
    <n v="9"/>
    <x v="1"/>
    <n v="29382"/>
    <n v="29382"/>
    <n v="50"/>
    <x v="3"/>
    <s v="777482172"/>
  </r>
  <r>
    <s v="190004618"/>
    <s v="Sumana Motor Stores"/>
    <x v="2"/>
    <x v="2"/>
    <s v="4227293131"/>
    <d v="2024-08-23T00:00:00"/>
    <n v="8"/>
    <x v="1"/>
    <n v="11328"/>
    <n v="11328"/>
    <n v="88"/>
    <x v="3"/>
    <s v="112435227"/>
  </r>
  <r>
    <s v="190004618"/>
    <s v="Sumana Motor Stores"/>
    <x v="2"/>
    <x v="2"/>
    <s v="4227298479"/>
    <d v="2024-09-30T00:00:00"/>
    <n v="9"/>
    <x v="1"/>
    <n v="56640"/>
    <n v="56640"/>
    <n v="50"/>
    <x v="3"/>
    <s v="112435227"/>
  </r>
  <r>
    <s v="190004823"/>
    <s v="Rivira Motors"/>
    <x v="2"/>
    <x v="2"/>
    <s v="4227212325"/>
    <d v="2022-05-26T00:00:00"/>
    <n v="5"/>
    <x v="6"/>
    <n v="14159"/>
    <n v="1559"/>
    <n v="908"/>
    <x v="694"/>
    <s v="112572181"/>
  </r>
  <r>
    <s v="190004823"/>
    <s v="Rivira Motors"/>
    <x v="2"/>
    <x v="2"/>
    <s v="4227280047"/>
    <d v="2024-05-10T00:00:00"/>
    <n v="5"/>
    <x v="1"/>
    <n v="8177"/>
    <n v="407"/>
    <n v="193"/>
    <x v="695"/>
    <s v="112572181"/>
  </r>
  <r>
    <s v="190004823"/>
    <s v="Rivira Motors"/>
    <x v="2"/>
    <x v="2"/>
    <s v="4227293153"/>
    <d v="2024-08-23T00:00:00"/>
    <n v="8"/>
    <x v="1"/>
    <n v="48361"/>
    <n v="-1"/>
    <n v="88"/>
    <x v="3"/>
    <s v="112572181"/>
  </r>
  <r>
    <s v="190004823"/>
    <s v="Rivira Motors"/>
    <x v="2"/>
    <x v="2"/>
    <s v="4227301811"/>
    <d v="2024-10-23T00:00:00"/>
    <n v="10"/>
    <x v="1"/>
    <n v="24886"/>
    <n v="24886"/>
    <n v="27"/>
    <x v="3"/>
    <s v="112572181"/>
  </r>
  <r>
    <s v="190004823"/>
    <s v="Rivira Motors"/>
    <x v="2"/>
    <x v="2"/>
    <s v="4227305969"/>
    <d v="2024-11-18T00:00:00"/>
    <n v="11"/>
    <x v="1"/>
    <n v="40268"/>
    <n v="40268"/>
    <n v="1"/>
    <x v="3"/>
    <s v="112572181"/>
  </r>
  <r>
    <s v="190004898"/>
    <s v="Sharin Motors"/>
    <x v="2"/>
    <x v="2"/>
    <s v="226952"/>
    <d v="2024-06-04T00:00:00"/>
    <n v="6"/>
    <x v="1"/>
    <n v="-500"/>
    <n v="-500"/>
    <n v="168"/>
    <x v="696"/>
    <s v="715112333"/>
  </r>
  <r>
    <s v="190005010"/>
    <s v="Avantguard Auto Mart (Private) Limi"/>
    <x v="2"/>
    <x v="2"/>
    <s v="4227276397"/>
    <d v="2024-03-28T00:00:00"/>
    <n v="3"/>
    <x v="1"/>
    <n v="93810"/>
    <n v="93810"/>
    <n v="236"/>
    <x v="697"/>
    <s v="777656737"/>
  </r>
  <r>
    <s v="190005010"/>
    <s v="Avantguard Auto Mart (Private) Limi"/>
    <x v="2"/>
    <x v="2"/>
    <s v="4227276399"/>
    <d v="2024-03-28T00:00:00"/>
    <n v="3"/>
    <x v="1"/>
    <n v="93810"/>
    <n v="93810"/>
    <n v="236"/>
    <x v="697"/>
    <s v="777656737"/>
  </r>
  <r>
    <s v="190005010"/>
    <s v="Avantguard Auto Mart (Private) Limi"/>
    <x v="2"/>
    <x v="2"/>
    <s v="4227286765"/>
    <d v="2024-07-10T00:00:00"/>
    <n v="7"/>
    <x v="1"/>
    <n v="67968"/>
    <n v="67968"/>
    <n v="132"/>
    <x v="698"/>
    <s v="777656737"/>
  </r>
  <r>
    <s v="190005010"/>
    <s v="Avantguard Auto Mart (Private) Limi"/>
    <x v="2"/>
    <x v="2"/>
    <s v="4227286766"/>
    <d v="2024-07-10T00:00:00"/>
    <n v="7"/>
    <x v="1"/>
    <n v="22930"/>
    <n v="1"/>
    <n v="132"/>
    <x v="519"/>
    <s v="777656737"/>
  </r>
  <r>
    <s v="190005010"/>
    <s v="Avantguard Auto Mart (Private) Limi"/>
    <x v="2"/>
    <x v="2"/>
    <s v="4227290478"/>
    <d v="2024-07-31T00:00:00"/>
    <n v="7"/>
    <x v="1"/>
    <n v="15517"/>
    <n v="15517"/>
    <n v="111"/>
    <x v="699"/>
    <s v="777656737"/>
  </r>
  <r>
    <s v="190005010"/>
    <s v="Avantguard Auto Mart (Private) Limi"/>
    <x v="2"/>
    <x v="2"/>
    <s v="4227290479"/>
    <d v="2024-07-31T00:00:00"/>
    <n v="7"/>
    <x v="1"/>
    <n v="9152"/>
    <n v="9152"/>
    <n v="111"/>
    <x v="700"/>
    <s v="777656737"/>
  </r>
  <r>
    <s v="190005010"/>
    <s v="Avantguard Auto Mart (Private) Limi"/>
    <x v="2"/>
    <x v="2"/>
    <s v="4227291145"/>
    <d v="2024-08-06T00:00:00"/>
    <n v="8"/>
    <x v="1"/>
    <n v="141600"/>
    <n v="141600"/>
    <n v="105"/>
    <x v="675"/>
    <s v="777656737"/>
  </r>
  <r>
    <s v="190005010"/>
    <s v="Avantguard Auto Mart (Private) Limi"/>
    <x v="2"/>
    <x v="2"/>
    <s v="4227295047"/>
    <d v="2024-08-31T00:00:00"/>
    <n v="8"/>
    <x v="1"/>
    <n v="14750"/>
    <n v="14750"/>
    <n v="80"/>
    <x v="3"/>
    <s v="777656737"/>
  </r>
  <r>
    <s v="190005010"/>
    <s v="Avantguard Auto Mart (Private) Limi"/>
    <x v="2"/>
    <x v="2"/>
    <s v="4227295082"/>
    <d v="2024-08-31T00:00:00"/>
    <n v="8"/>
    <x v="1"/>
    <n v="33984"/>
    <n v="33984"/>
    <n v="80"/>
    <x v="3"/>
    <s v="777656737"/>
  </r>
  <r>
    <s v="190005010"/>
    <s v="Avantguard Auto Mart (Private) Limi"/>
    <x v="2"/>
    <x v="2"/>
    <s v="4227295083"/>
    <d v="2024-08-31T00:00:00"/>
    <n v="8"/>
    <x v="1"/>
    <n v="75331"/>
    <n v="75331"/>
    <n v="80"/>
    <x v="3"/>
    <s v="777656737"/>
  </r>
  <r>
    <s v="190005010"/>
    <s v="Avantguard Auto Mart (Private) Limi"/>
    <x v="2"/>
    <x v="2"/>
    <s v="4227297277"/>
    <d v="2024-09-20T00:00:00"/>
    <n v="9"/>
    <x v="1"/>
    <n v="14455"/>
    <n v="14455"/>
    <n v="60"/>
    <x v="3"/>
    <s v="777656737"/>
  </r>
  <r>
    <s v="190005010"/>
    <s v="Avantguard Auto Mart (Private) Limi"/>
    <x v="2"/>
    <x v="2"/>
    <s v="4227297532"/>
    <d v="2024-09-25T00:00:00"/>
    <n v="9"/>
    <x v="1"/>
    <n v="44604"/>
    <n v="44604"/>
    <n v="55"/>
    <x v="3"/>
    <s v="777656737"/>
  </r>
  <r>
    <s v="190005010"/>
    <s v="Avantguard Auto Mart (Private) Limi"/>
    <x v="2"/>
    <x v="2"/>
    <s v="4227304400"/>
    <d v="2024-10-31T00:00:00"/>
    <n v="10"/>
    <x v="1"/>
    <n v="25960"/>
    <n v="25960"/>
    <n v="19"/>
    <x v="3"/>
    <s v="777656737"/>
  </r>
  <r>
    <s v="190005010"/>
    <s v="Avantguard Auto Mart (Private) Limi"/>
    <x v="2"/>
    <x v="2"/>
    <s v="4227304401"/>
    <d v="2024-10-31T00:00:00"/>
    <n v="10"/>
    <x v="1"/>
    <n v="9152"/>
    <n v="9152"/>
    <n v="19"/>
    <x v="3"/>
    <s v="777656737"/>
  </r>
  <r>
    <s v="190005010"/>
    <s v="Avantguard Auto Mart (Private) Limi"/>
    <x v="2"/>
    <x v="2"/>
    <s v="4227305798"/>
    <d v="2024-11-13T00:00:00"/>
    <n v="11"/>
    <x v="1"/>
    <n v="79296"/>
    <n v="79296"/>
    <n v="6"/>
    <x v="3"/>
    <s v="777656737"/>
  </r>
  <r>
    <s v="190005010"/>
    <s v="Avantguard Auto Mart (Private) Limi"/>
    <x v="2"/>
    <x v="2"/>
    <s v="4227305799"/>
    <d v="2024-11-13T00:00:00"/>
    <n v="11"/>
    <x v="1"/>
    <n v="40120"/>
    <n v="40120"/>
    <n v="6"/>
    <x v="3"/>
    <s v="777656737"/>
  </r>
  <r>
    <s v="190005257"/>
    <s v="Isuru Enterprises"/>
    <x v="2"/>
    <x v="2"/>
    <s v="4227296835"/>
    <d v="2024-09-20T00:00:00"/>
    <n v="9"/>
    <x v="1"/>
    <n v="3629"/>
    <n v="3629"/>
    <n v="60"/>
    <x v="3"/>
    <s v="0112568613"/>
  </r>
  <r>
    <s v="190005257"/>
    <s v="Isuru Enterprises"/>
    <x v="2"/>
    <x v="2"/>
    <s v="4227297899"/>
    <d v="2024-09-26T00:00:00"/>
    <n v="9"/>
    <x v="1"/>
    <n v="3540"/>
    <n v="3540"/>
    <n v="54"/>
    <x v="3"/>
    <s v="0112568613"/>
  </r>
  <r>
    <s v="190005257"/>
    <s v="Isuru Enterprises"/>
    <x v="2"/>
    <x v="2"/>
    <s v="4227297983"/>
    <d v="2024-09-27T00:00:00"/>
    <n v="9"/>
    <x v="1"/>
    <n v="4130"/>
    <n v="4130"/>
    <n v="53"/>
    <x v="3"/>
    <s v="0112568613"/>
  </r>
  <r>
    <s v="190005257"/>
    <s v="Isuru Enterprises"/>
    <x v="2"/>
    <x v="2"/>
    <s v="4227299242"/>
    <d v="2024-10-03T00:00:00"/>
    <n v="10"/>
    <x v="1"/>
    <n v="4956"/>
    <n v="4956"/>
    <n v="47"/>
    <x v="3"/>
    <s v="0112568613"/>
  </r>
  <r>
    <s v="190005292"/>
    <s v="Pala Auto Electricals (Pvt) Ltd"/>
    <x v="2"/>
    <x v="2"/>
    <s v="4227287174"/>
    <d v="2024-07-12T00:00:00"/>
    <n v="7"/>
    <x v="1"/>
    <n v="5325"/>
    <n v="5305"/>
    <n v="130"/>
    <x v="701"/>
    <s v="2473542/4"/>
  </r>
  <r>
    <s v="190005292"/>
    <s v="Pala Auto Electricals (Pvt) Ltd"/>
    <x v="2"/>
    <x v="2"/>
    <s v="4227299934"/>
    <d v="2024-10-09T00:00:00"/>
    <n v="10"/>
    <x v="1"/>
    <n v="78475"/>
    <n v="78475"/>
    <n v="41"/>
    <x v="3"/>
    <s v="2473542/4"/>
  </r>
  <r>
    <s v="190005332"/>
    <s v="Asian Auto Electricals"/>
    <x v="2"/>
    <x v="2"/>
    <s v="4227298480"/>
    <d v="2024-09-30T00:00:00"/>
    <n v="9"/>
    <x v="1"/>
    <n v="99722"/>
    <n v="99722"/>
    <n v="50"/>
    <x v="3"/>
    <s v="722143676"/>
  </r>
  <r>
    <s v="190007133"/>
    <s v="Maxxpark Autocare"/>
    <x v="2"/>
    <x v="2"/>
    <s v="4227257656"/>
    <d v="2023-10-10T00:00:00"/>
    <n v="10"/>
    <x v="0"/>
    <n v="17664"/>
    <n v="17664"/>
    <n v="406"/>
    <x v="702"/>
    <s v="0115-378491"/>
  </r>
  <r>
    <s v="190007133"/>
    <s v="Maxxpark Autocare"/>
    <x v="2"/>
    <x v="2"/>
    <s v="4227268984"/>
    <d v="2024-01-26T00:00:00"/>
    <n v="1"/>
    <x v="1"/>
    <n v="25162"/>
    <n v="25162"/>
    <n v="298"/>
    <x v="703"/>
    <s v="0115-378491"/>
  </r>
  <r>
    <s v="190007133"/>
    <s v="Maxxpark Autocare"/>
    <x v="2"/>
    <x v="2"/>
    <s v="4227271802"/>
    <d v="2024-02-21T00:00:00"/>
    <n v="2"/>
    <x v="1"/>
    <n v="17248"/>
    <n v="17248"/>
    <n v="272"/>
    <x v="704"/>
    <s v="0115-378491"/>
  </r>
  <r>
    <s v="190007133"/>
    <s v="Maxxpark Autocare"/>
    <x v="2"/>
    <x v="2"/>
    <s v="4227271839"/>
    <d v="2024-02-21T00:00:00"/>
    <n v="2"/>
    <x v="1"/>
    <n v="12951"/>
    <n v="12951"/>
    <n v="272"/>
    <x v="705"/>
    <s v="0115-378491"/>
  </r>
  <r>
    <s v="190007133"/>
    <s v="Maxxpark Autocare"/>
    <x v="2"/>
    <x v="2"/>
    <s v="4227277401"/>
    <d v="2024-04-09T00:00:00"/>
    <n v="4"/>
    <x v="1"/>
    <n v="11682"/>
    <n v="11682"/>
    <n v="224"/>
    <x v="706"/>
    <s v="0115-378491"/>
  </r>
  <r>
    <s v="190007133"/>
    <s v="Maxxpark Autocare"/>
    <x v="2"/>
    <x v="2"/>
    <s v="4227282526"/>
    <d v="2024-05-31T00:00:00"/>
    <n v="5"/>
    <x v="1"/>
    <n v="40356"/>
    <n v="40356"/>
    <n v="172"/>
    <x v="560"/>
    <s v="0115-378491"/>
  </r>
  <r>
    <s v="190007133"/>
    <s v="Maxxpark Autocare"/>
    <x v="2"/>
    <x v="2"/>
    <s v="4227282527"/>
    <d v="2024-05-31T00:00:00"/>
    <n v="5"/>
    <x v="1"/>
    <n v="33984"/>
    <n v="33984"/>
    <n v="172"/>
    <x v="314"/>
    <s v="0115-378491"/>
  </r>
  <r>
    <s v="190007133"/>
    <s v="Maxxpark Autocare"/>
    <x v="2"/>
    <x v="2"/>
    <s v="4227282528"/>
    <d v="2024-05-31T00:00:00"/>
    <n v="5"/>
    <x v="1"/>
    <n v="37998"/>
    <n v="37998"/>
    <n v="172"/>
    <x v="707"/>
    <s v="0115-378491"/>
  </r>
  <r>
    <s v="190007133"/>
    <s v="Maxxpark Autocare"/>
    <x v="2"/>
    <x v="2"/>
    <s v="4227282529"/>
    <d v="2024-05-31T00:00:00"/>
    <n v="5"/>
    <x v="1"/>
    <n v="11328"/>
    <n v="11328"/>
    <n v="172"/>
    <x v="449"/>
    <s v="0115-378491"/>
  </r>
  <r>
    <s v="190007133"/>
    <s v="Maxxpark Autocare"/>
    <x v="2"/>
    <x v="2"/>
    <s v="4227282530"/>
    <d v="2024-05-31T00:00:00"/>
    <n v="5"/>
    <x v="1"/>
    <n v="33984"/>
    <n v="33984"/>
    <n v="172"/>
    <x v="314"/>
    <s v="0115-378491"/>
  </r>
  <r>
    <s v="190007133"/>
    <s v="Maxxpark Autocare"/>
    <x v="2"/>
    <x v="2"/>
    <s v="4227302085"/>
    <d v="2024-10-24T00:00:00"/>
    <n v="10"/>
    <x v="1"/>
    <n v="16659"/>
    <n v="16659"/>
    <n v="26"/>
    <x v="3"/>
    <s v="0115-378491"/>
  </r>
  <r>
    <s v="190007133"/>
    <s v="Maxxpark Autocare"/>
    <x v="2"/>
    <x v="2"/>
    <s v="4227302414"/>
    <d v="2024-10-25T00:00:00"/>
    <n v="10"/>
    <x v="1"/>
    <n v="7636"/>
    <n v="7636"/>
    <n v="25"/>
    <x v="3"/>
    <s v="0115-378491"/>
  </r>
  <r>
    <s v="190007845"/>
    <s v="DAF Mart Lanka (Pvt) Ltd"/>
    <x v="2"/>
    <x v="2"/>
    <s v="4227291977"/>
    <d v="2024-08-13T00:00:00"/>
    <n v="8"/>
    <x v="1"/>
    <n v="74659"/>
    <n v="74659"/>
    <n v="98"/>
    <x v="708"/>
    <s v="0112335197"/>
  </r>
  <r>
    <s v="190007845"/>
    <s v="DAF Mart Lanka (Pvt) Ltd"/>
    <x v="2"/>
    <x v="2"/>
    <s v="4227292038"/>
    <d v="2024-08-14T00:00:00"/>
    <n v="8"/>
    <x v="1"/>
    <n v="28704"/>
    <n v="28704"/>
    <n v="97"/>
    <x v="709"/>
    <s v="0112335197"/>
  </r>
  <r>
    <s v="190007845"/>
    <s v="DAF Mart Lanka (Pvt) Ltd"/>
    <x v="2"/>
    <x v="2"/>
    <s v="4227292039"/>
    <d v="2024-08-14T00:00:00"/>
    <n v="8"/>
    <x v="1"/>
    <n v="28320"/>
    <n v="28320"/>
    <n v="97"/>
    <x v="353"/>
    <s v="0112335197"/>
  </r>
  <r>
    <s v="190007845"/>
    <s v="DAF Mart Lanka (Pvt) Ltd"/>
    <x v="2"/>
    <x v="2"/>
    <s v="4227292040"/>
    <d v="2024-08-14T00:00:00"/>
    <n v="8"/>
    <x v="1"/>
    <n v="10209"/>
    <n v="10209"/>
    <n v="97"/>
    <x v="710"/>
    <s v="0112335197"/>
  </r>
  <r>
    <s v="190007845"/>
    <s v="DAF Mart Lanka (Pvt) Ltd"/>
    <x v="2"/>
    <x v="2"/>
    <s v="4227292041"/>
    <d v="2024-08-14T00:00:00"/>
    <n v="8"/>
    <x v="1"/>
    <n v="87493"/>
    <n v="87493"/>
    <n v="97"/>
    <x v="711"/>
    <s v="0112335197"/>
  </r>
  <r>
    <s v="190007845"/>
    <s v="DAF Mart Lanka (Pvt) Ltd"/>
    <x v="2"/>
    <x v="2"/>
    <s v="4227292054"/>
    <d v="2024-08-14T00:00:00"/>
    <n v="8"/>
    <x v="1"/>
    <n v="13821"/>
    <n v="13821"/>
    <n v="97"/>
    <x v="712"/>
    <s v="0112335197"/>
  </r>
  <r>
    <s v="190007845"/>
    <s v="DAF Mart Lanka (Pvt) Ltd"/>
    <x v="2"/>
    <x v="2"/>
    <s v="4227297280"/>
    <d v="2024-09-20T00:00:00"/>
    <n v="9"/>
    <x v="1"/>
    <n v="7066"/>
    <n v="7066"/>
    <n v="60"/>
    <x v="3"/>
    <s v="0112335197"/>
  </r>
  <r>
    <s v="190007845"/>
    <s v="DAF Mart Lanka (Pvt) Ltd"/>
    <x v="2"/>
    <x v="2"/>
    <s v="4227297281"/>
    <d v="2024-09-20T00:00:00"/>
    <n v="9"/>
    <x v="1"/>
    <n v="65490"/>
    <n v="65490"/>
    <n v="60"/>
    <x v="3"/>
    <s v="0112335197"/>
  </r>
  <r>
    <s v="190007845"/>
    <s v="DAF Mart Lanka (Pvt) Ltd"/>
    <x v="2"/>
    <x v="2"/>
    <s v="4227297775"/>
    <d v="2024-09-26T00:00:00"/>
    <n v="9"/>
    <x v="1"/>
    <n v="39294"/>
    <n v="39294"/>
    <n v="54"/>
    <x v="3"/>
    <s v="0112335197"/>
  </r>
  <r>
    <s v="190007845"/>
    <s v="DAF Mart Lanka (Pvt) Ltd"/>
    <x v="2"/>
    <x v="2"/>
    <s v="4227299852"/>
    <d v="2024-10-09T00:00:00"/>
    <n v="10"/>
    <x v="1"/>
    <n v="71698"/>
    <n v="71698"/>
    <n v="41"/>
    <x v="3"/>
    <s v="0112335197"/>
  </r>
  <r>
    <s v="190007845"/>
    <s v="DAF Mart Lanka (Pvt) Ltd"/>
    <x v="2"/>
    <x v="2"/>
    <s v="4227305388"/>
    <d v="2024-11-11T00:00:00"/>
    <n v="11"/>
    <x v="1"/>
    <n v="5828"/>
    <n v="5828"/>
    <n v="8"/>
    <x v="3"/>
    <s v="0112335197"/>
  </r>
  <r>
    <s v="190007845"/>
    <s v="DAF Mart Lanka (Pvt) Ltd"/>
    <x v="2"/>
    <x v="2"/>
    <s v="4227305657"/>
    <d v="2024-11-13T00:00:00"/>
    <n v="11"/>
    <x v="1"/>
    <n v="1204"/>
    <n v="1204"/>
    <n v="6"/>
    <x v="3"/>
    <s v="0112335197"/>
  </r>
  <r>
    <s v="190007868"/>
    <s v="Damitha Motors"/>
    <x v="2"/>
    <x v="2"/>
    <s v="199025"/>
    <d v="2023-04-24T00:00:00"/>
    <n v="4"/>
    <x v="0"/>
    <n v="-210"/>
    <n v="-210"/>
    <n v="575"/>
    <x v="713"/>
    <s v="0112323337"/>
  </r>
  <r>
    <s v="190007868"/>
    <s v="Damitha Motors"/>
    <x v="2"/>
    <x v="2"/>
    <s v="4227210487"/>
    <d v="2022-04-29T00:00:00"/>
    <n v="4"/>
    <x v="6"/>
    <n v="65816"/>
    <n v="630"/>
    <n v="935"/>
    <x v="714"/>
    <s v="0112323337"/>
  </r>
  <r>
    <s v="190007954"/>
    <s v="R.N Car Wash"/>
    <x v="2"/>
    <x v="2"/>
    <s v="4227093687"/>
    <d v="2019-02-11T00:00:00"/>
    <n v="2"/>
    <x v="5"/>
    <n v="143750"/>
    <n v="113750"/>
    <n v="2108"/>
    <x v="715"/>
    <s v="07779730000"/>
  </r>
  <r>
    <s v="190007966"/>
    <s v="Nandana Motors"/>
    <x v="2"/>
    <x v="2"/>
    <s v="190024"/>
    <d v="2022-11-10T00:00:00"/>
    <n v="11"/>
    <x v="6"/>
    <n v="-2000"/>
    <n v="-2000"/>
    <n v="740"/>
    <x v="716"/>
    <s v="0112434332"/>
  </r>
  <r>
    <s v="190008838"/>
    <s v="L. P. G. Auto Windscreen (Pvt) Ltd"/>
    <x v="2"/>
    <x v="2"/>
    <s v="235836 / 895038"/>
    <d v="2024-10-11T00:00:00"/>
    <n v="10"/>
    <x v="1"/>
    <n v="-0.4"/>
    <n v="-0.4"/>
    <n v="39"/>
    <x v="3"/>
    <s v="0114806400"/>
  </r>
  <r>
    <s v="190008838"/>
    <s v="L. P. G. Auto Windscreen (Pvt) Ltd"/>
    <x v="2"/>
    <x v="2"/>
    <s v="4227200905"/>
    <d v="2022-01-26T00:00:00"/>
    <n v="1"/>
    <x v="6"/>
    <n v="7776"/>
    <n v="576"/>
    <n v="1028"/>
    <x v="717"/>
    <s v="0114806400"/>
  </r>
  <r>
    <s v="190008838"/>
    <s v="L. P. G. Auto Windscreen (Pvt) Ltd"/>
    <x v="2"/>
    <x v="2"/>
    <s v="4227290213"/>
    <d v="2024-07-31T00:00:00"/>
    <n v="7"/>
    <x v="1"/>
    <n v="8644"/>
    <n v="0.9"/>
    <n v="111"/>
    <x v="718"/>
    <s v="0114806400"/>
  </r>
  <r>
    <s v="190008838"/>
    <s v="L. P. G. Auto Windscreen (Pvt) Ltd"/>
    <x v="2"/>
    <x v="2"/>
    <s v="4227299657"/>
    <d v="2024-10-08T00:00:00"/>
    <n v="10"/>
    <x v="1"/>
    <n v="10526"/>
    <n v="10526"/>
    <n v="42"/>
    <x v="3"/>
    <s v="0114806400"/>
  </r>
  <r>
    <s v="190008893"/>
    <s v="Malabe Punchi Car Niwasa (Pvt) Ltd"/>
    <x v="2"/>
    <x v="2"/>
    <s v="4227178465"/>
    <d v="2021-06-12T00:00:00"/>
    <n v="6"/>
    <x v="4"/>
    <n v="35455"/>
    <n v="8852"/>
    <n v="1256"/>
    <x v="719"/>
    <s v="0113047063"/>
  </r>
  <r>
    <s v="190008974"/>
    <s v="S. A. R. Automobile"/>
    <x v="2"/>
    <x v="2"/>
    <s v="4227204334"/>
    <d v="2022-02-23T00:00:00"/>
    <n v="2"/>
    <x v="6"/>
    <n v="17836"/>
    <n v="891"/>
    <n v="1000"/>
    <x v="720"/>
    <s v="0112439417"/>
  </r>
  <r>
    <s v="190009221"/>
    <s v="Kevin Motors"/>
    <x v="2"/>
    <x v="2"/>
    <s v="4227226706"/>
    <d v="2022-11-29T00:00:00"/>
    <n v="11"/>
    <x v="6"/>
    <n v="20700"/>
    <n v="4016"/>
    <n v="721"/>
    <x v="721"/>
    <s v=""/>
  </r>
  <r>
    <s v="190009221"/>
    <s v="Kevin Motors"/>
    <x v="2"/>
    <x v="2"/>
    <s v="4227232073"/>
    <d v="2023-01-30T00:00:00"/>
    <n v="1"/>
    <x v="0"/>
    <n v="165600"/>
    <n v="148500"/>
    <n v="659"/>
    <x v="722"/>
    <s v=""/>
  </r>
  <r>
    <s v="190009221"/>
    <s v="Kevin Motors"/>
    <x v="2"/>
    <x v="2"/>
    <s v="4227290449"/>
    <d v="2024-07-31T00:00:00"/>
    <n v="7"/>
    <x v="1"/>
    <n v="236000"/>
    <n v="166000"/>
    <n v="111"/>
    <x v="723"/>
    <s v=""/>
  </r>
  <r>
    <s v="190009223"/>
    <s v="Saman Motor Traders"/>
    <x v="2"/>
    <x v="2"/>
    <s v="4227292391"/>
    <d v="2024-08-16T00:00:00"/>
    <n v="8"/>
    <x v="1"/>
    <n v="53631"/>
    <n v="53631"/>
    <n v="95"/>
    <x v="724"/>
    <s v=""/>
  </r>
  <r>
    <s v="190009237"/>
    <s v="Car Shine Paint Work"/>
    <x v="2"/>
    <x v="2"/>
    <s v="4227093060"/>
    <d v="2019-02-01T00:00:00"/>
    <n v="2"/>
    <x v="5"/>
    <n v="12938"/>
    <n v="12938"/>
    <n v="2118"/>
    <x v="725"/>
    <s v="0719117111"/>
  </r>
  <r>
    <s v="190009237"/>
    <s v="Car Shine Paint Work"/>
    <x v="2"/>
    <x v="2"/>
    <s v="4227096170"/>
    <d v="2019-03-04T00:00:00"/>
    <n v="3"/>
    <x v="5"/>
    <n v="9806"/>
    <n v="9806"/>
    <n v="2087"/>
    <x v="726"/>
    <s v="0719117111"/>
  </r>
  <r>
    <s v="190009247"/>
    <s v="A To Z Marketing"/>
    <x v="2"/>
    <x v="2"/>
    <s v="RTN CHQ 139792"/>
    <d v="2024-05-20T00:00:00"/>
    <n v="5"/>
    <x v="1"/>
    <n v="119475"/>
    <n v="57925"/>
    <n v="183"/>
    <x v="727"/>
    <s v="0112680863"/>
  </r>
  <r>
    <s v="190009247"/>
    <s v="A To Z Marketing"/>
    <x v="2"/>
    <x v="2"/>
    <s v="4227243279"/>
    <d v="2023-05-31T00:00:00"/>
    <n v="5"/>
    <x v="0"/>
    <n v="103759"/>
    <n v="19743"/>
    <n v="538"/>
    <x v="728"/>
    <s v="0112680863"/>
  </r>
  <r>
    <s v="190009247"/>
    <s v="A To Z Marketing"/>
    <x v="2"/>
    <x v="2"/>
    <s v="5227015419"/>
    <d v="2024-08-12T00:00:00"/>
    <n v="8"/>
    <x v="1"/>
    <n v="-11307"/>
    <n v="-11307"/>
    <n v="99"/>
    <x v="729"/>
    <s v="0112680863"/>
  </r>
  <r>
    <s v="190009352"/>
    <s v="House Of Auto Electricals"/>
    <x v="2"/>
    <x v="2"/>
    <s v="4227285351"/>
    <d v="2024-06-28T00:00:00"/>
    <n v="6"/>
    <x v="1"/>
    <n v="75158"/>
    <n v="0"/>
    <n v="144"/>
    <x v="345"/>
    <s v="0776511342"/>
  </r>
  <r>
    <s v="190009352"/>
    <s v="House Of Auto Electricals"/>
    <x v="2"/>
    <x v="2"/>
    <s v="4227288833"/>
    <d v="2024-07-24T00:00:00"/>
    <n v="7"/>
    <x v="1"/>
    <n v="56640"/>
    <n v="56640"/>
    <n v="118"/>
    <x v="330"/>
    <s v="0776511342"/>
  </r>
  <r>
    <s v="190009390"/>
    <s v="Sanath Auto Electricle"/>
    <x v="2"/>
    <x v="2"/>
    <s v="4227282253"/>
    <d v="2024-05-31T00:00:00"/>
    <n v="5"/>
    <x v="1"/>
    <n v="61335"/>
    <n v="61335"/>
    <n v="172"/>
    <x v="730"/>
    <s v="0112449746"/>
  </r>
  <r>
    <s v="190009390"/>
    <s v="Sanath Auto Electricle"/>
    <x v="2"/>
    <x v="2"/>
    <s v="4227285877"/>
    <d v="2024-06-29T00:00:00"/>
    <n v="6"/>
    <x v="1"/>
    <n v="767000"/>
    <n v="700000"/>
    <n v="143"/>
    <x v="731"/>
    <s v="0112449746"/>
  </r>
  <r>
    <s v="190009390"/>
    <s v="Sanath Auto Electricle"/>
    <x v="2"/>
    <x v="2"/>
    <s v="4227292405"/>
    <d v="2024-08-16T00:00:00"/>
    <n v="8"/>
    <x v="1"/>
    <n v="54693"/>
    <n v="54693"/>
    <n v="95"/>
    <x v="732"/>
    <s v="0112449746"/>
  </r>
  <r>
    <s v="190009515"/>
    <s v="Anton Motors"/>
    <x v="2"/>
    <x v="2"/>
    <s v="4227300973"/>
    <d v="2024-10-16T00:00:00"/>
    <n v="10"/>
    <x v="1"/>
    <n v="7788"/>
    <n v="7788"/>
    <n v="34"/>
    <x v="3"/>
    <s v="0112331081"/>
  </r>
  <r>
    <s v="190009716"/>
    <s v="New Wasantha Motor Stores"/>
    <x v="2"/>
    <x v="2"/>
    <s v="4227249235"/>
    <d v="2023-07-31T00:00:00"/>
    <n v="7"/>
    <x v="0"/>
    <n v="77280"/>
    <n v="67280"/>
    <n v="477"/>
    <x v="733"/>
    <s v="0112432741"/>
  </r>
  <r>
    <s v="190009716"/>
    <s v="New Wasantha Motor Stores"/>
    <x v="2"/>
    <x v="2"/>
    <s v="4227297017"/>
    <d v="2024-09-20T00:00:00"/>
    <n v="9"/>
    <x v="1"/>
    <n v="10089"/>
    <n v="10089"/>
    <n v="60"/>
    <x v="3"/>
    <s v="0112432741"/>
  </r>
  <r>
    <s v="190009716"/>
    <s v="New Wasantha Motor Stores"/>
    <x v="2"/>
    <x v="2"/>
    <s v="4227305790"/>
    <d v="2024-11-13T00:00:00"/>
    <n v="11"/>
    <x v="1"/>
    <n v="62304"/>
    <n v="62304"/>
    <n v="6"/>
    <x v="3"/>
    <s v="0112432741"/>
  </r>
  <r>
    <s v="190009716"/>
    <s v="New Wasantha Motor Stores"/>
    <x v="2"/>
    <x v="2"/>
    <s v="5227015457"/>
    <d v="2024-08-15T00:00:00"/>
    <n v="8"/>
    <x v="1"/>
    <n v="-66010"/>
    <n v="-66010"/>
    <n v="96"/>
    <x v="734"/>
    <s v="0112432741"/>
  </r>
  <r>
    <s v="190009751"/>
    <s v="M. K. A. Motor Supply"/>
    <x v="2"/>
    <x v="2"/>
    <s v="CX SET OFF"/>
    <d v="2024-09-30T00:00:00"/>
    <n v="9"/>
    <x v="1"/>
    <n v="-3251"/>
    <n v="-3251"/>
    <n v="50"/>
    <x v="3"/>
    <s v="0115719776"/>
  </r>
  <r>
    <s v="190009751"/>
    <s v="M. K. A. Motor Supply"/>
    <x v="2"/>
    <x v="2"/>
    <s v="4227241843"/>
    <d v="2023-05-18T00:00:00"/>
    <n v="5"/>
    <x v="0"/>
    <n v="11471"/>
    <n v="11471"/>
    <n v="551"/>
    <x v="735"/>
    <s v="0115719776"/>
  </r>
  <r>
    <s v="190009751"/>
    <s v="M. K. A. Motor Supply"/>
    <x v="2"/>
    <x v="2"/>
    <s v="4227290088"/>
    <d v="2024-07-31T00:00:00"/>
    <n v="7"/>
    <x v="1"/>
    <n v="169920"/>
    <n v="169920"/>
    <n v="111"/>
    <x v="736"/>
    <s v="0115719776"/>
  </r>
  <r>
    <s v="190009762"/>
    <s v="Senok Automobile (Pvt) Ltd"/>
    <x v="2"/>
    <x v="2"/>
    <s v="209754/497368"/>
    <d v="2023-09-27T00:00:00"/>
    <n v="9"/>
    <x v="0"/>
    <n v="-13662"/>
    <n v="-1258"/>
    <n v="419"/>
    <x v="737"/>
    <s v="0770660214"/>
  </r>
  <r>
    <s v="190009762"/>
    <s v="Senok Automobile (Pvt) Ltd"/>
    <x v="2"/>
    <x v="2"/>
    <s v="4227291017"/>
    <d v="2024-08-05T00:00:00"/>
    <n v="8"/>
    <x v="1"/>
    <n v="17523"/>
    <n v="17523"/>
    <n v="106"/>
    <x v="738"/>
    <s v="0770660214"/>
  </r>
  <r>
    <s v="190009762"/>
    <s v="Senok Automobile (Pvt) Ltd"/>
    <x v="2"/>
    <x v="2"/>
    <s v="4227292550"/>
    <d v="2024-08-17T00:00:00"/>
    <n v="8"/>
    <x v="1"/>
    <n v="26196"/>
    <n v="26196"/>
    <n v="94"/>
    <x v="634"/>
    <s v="0770660214"/>
  </r>
  <r>
    <s v="190009762"/>
    <s v="Senok Automobile (Pvt) Ltd"/>
    <x v="2"/>
    <x v="2"/>
    <s v="4227294691"/>
    <d v="2024-08-30T00:00:00"/>
    <n v="8"/>
    <x v="1"/>
    <n v="17523"/>
    <n v="17523"/>
    <n v="81"/>
    <x v="3"/>
    <s v="0770660214"/>
  </r>
  <r>
    <s v="190009762"/>
    <s v="Senok Automobile (Pvt) Ltd"/>
    <x v="2"/>
    <x v="2"/>
    <s v="4227295313"/>
    <d v="2024-09-03T00:00:00"/>
    <n v="9"/>
    <x v="1"/>
    <n v="17523"/>
    <n v="17523"/>
    <n v="77"/>
    <x v="3"/>
    <s v="0770660214"/>
  </r>
  <r>
    <s v="190009762"/>
    <s v="Senok Automobile (Pvt) Ltd"/>
    <x v="2"/>
    <x v="2"/>
    <s v="4227297779"/>
    <d v="2024-09-26T00:00:00"/>
    <n v="9"/>
    <x v="1"/>
    <n v="26196"/>
    <n v="26196"/>
    <n v="54"/>
    <x v="3"/>
    <s v="0770660214"/>
  </r>
  <r>
    <s v="190009762"/>
    <s v="Senok Automobile (Pvt) Ltd"/>
    <x v="2"/>
    <x v="2"/>
    <s v="4227299434"/>
    <d v="2024-10-04T00:00:00"/>
    <n v="10"/>
    <x v="1"/>
    <n v="23364"/>
    <n v="23364"/>
    <n v="46"/>
    <x v="3"/>
    <s v="0770660214"/>
  </r>
  <r>
    <s v="190009762"/>
    <s v="Senok Automobile (Pvt) Ltd"/>
    <x v="2"/>
    <x v="2"/>
    <s v="4227299951"/>
    <d v="2024-10-09T00:00:00"/>
    <n v="10"/>
    <x v="1"/>
    <n v="50034"/>
    <n v="50034"/>
    <n v="41"/>
    <x v="3"/>
    <s v="0770660214"/>
  </r>
  <r>
    <s v="190009762"/>
    <s v="Senok Automobile (Pvt) Ltd"/>
    <x v="2"/>
    <x v="2"/>
    <s v="4227299952"/>
    <d v="2024-10-09T00:00:00"/>
    <n v="10"/>
    <x v="1"/>
    <n v="63720"/>
    <n v="63720"/>
    <n v="41"/>
    <x v="3"/>
    <s v="0770660214"/>
  </r>
  <r>
    <s v="190009762"/>
    <s v="Senok Automobile (Pvt) Ltd"/>
    <x v="2"/>
    <x v="2"/>
    <s v="4227300115"/>
    <d v="2024-10-10T00:00:00"/>
    <n v="10"/>
    <x v="1"/>
    <n v="9546"/>
    <n v="9546"/>
    <n v="40"/>
    <x v="3"/>
    <s v="0770660214"/>
  </r>
  <r>
    <s v="190009762"/>
    <s v="Senok Automobile (Pvt) Ltd"/>
    <x v="2"/>
    <x v="2"/>
    <s v="4227300312"/>
    <d v="2024-10-11T00:00:00"/>
    <n v="10"/>
    <x v="1"/>
    <n v="28025"/>
    <n v="28025"/>
    <n v="39"/>
    <x v="3"/>
    <s v="0770660214"/>
  </r>
  <r>
    <s v="190009762"/>
    <s v="Senok Automobile (Pvt) Ltd"/>
    <x v="2"/>
    <x v="2"/>
    <s v="4227301910"/>
    <d v="2024-10-23T00:00:00"/>
    <n v="10"/>
    <x v="1"/>
    <n v="23364"/>
    <n v="23364"/>
    <n v="27"/>
    <x v="3"/>
    <s v="0770660214"/>
  </r>
  <r>
    <s v="190009762"/>
    <s v="Senok Automobile (Pvt) Ltd"/>
    <x v="2"/>
    <x v="2"/>
    <s v="4227305193"/>
    <d v="2024-11-08T00:00:00"/>
    <n v="11"/>
    <x v="1"/>
    <n v="17110"/>
    <n v="17110"/>
    <n v="11"/>
    <x v="3"/>
    <s v="0770660214"/>
  </r>
  <r>
    <s v="190009762"/>
    <s v="Senok Automobile (Pvt) Ltd"/>
    <x v="2"/>
    <x v="2"/>
    <s v="4227305695"/>
    <d v="2024-11-13T00:00:00"/>
    <n v="11"/>
    <x v="1"/>
    <n v="42480"/>
    <n v="42480"/>
    <n v="6"/>
    <x v="3"/>
    <s v="0770660214"/>
  </r>
  <r>
    <s v="190009762"/>
    <s v="Senok Automobile (Pvt) Ltd"/>
    <x v="2"/>
    <x v="2"/>
    <s v="4227305808"/>
    <d v="2024-11-13T00:00:00"/>
    <n v="11"/>
    <x v="1"/>
    <n v="23353"/>
    <n v="23353"/>
    <n v="6"/>
    <x v="3"/>
    <s v="0770660214"/>
  </r>
  <r>
    <s v="190009790"/>
    <s v="Samanmalee Motors"/>
    <x v="2"/>
    <x v="2"/>
    <s v="4227276601"/>
    <d v="2024-03-28T00:00:00"/>
    <n v="3"/>
    <x v="1"/>
    <n v="96760"/>
    <n v="96760"/>
    <n v="236"/>
    <x v="739"/>
    <s v="0112693109"/>
  </r>
  <r>
    <s v="190009790"/>
    <s v="Samanmalee Motors"/>
    <x v="2"/>
    <x v="2"/>
    <s v="5227015931"/>
    <d v="2024-11-12T00:00:00"/>
    <n v="11"/>
    <x v="1"/>
    <n v="-96760"/>
    <n v="-96760"/>
    <n v="7"/>
    <x v="3"/>
    <s v="0112693109"/>
  </r>
  <r>
    <s v="190010011"/>
    <s v="Khan Auto Electricals"/>
    <x v="2"/>
    <x v="2"/>
    <s v="4227285179"/>
    <d v="2024-06-28T00:00:00"/>
    <n v="6"/>
    <x v="1"/>
    <n v="15930"/>
    <n v="15930"/>
    <n v="144"/>
    <x v="683"/>
    <s v="07773559968"/>
  </r>
  <r>
    <s v="190010011"/>
    <s v="Khan Auto Electricals"/>
    <x v="2"/>
    <x v="2"/>
    <s v="4227285225"/>
    <d v="2024-06-28T00:00:00"/>
    <n v="6"/>
    <x v="1"/>
    <n v="184080"/>
    <n v="74080"/>
    <n v="144"/>
    <x v="740"/>
    <s v="07773559968"/>
  </r>
  <r>
    <s v="190010011"/>
    <s v="Khan Auto Electricals"/>
    <x v="2"/>
    <x v="2"/>
    <s v="4227285885"/>
    <d v="2024-06-29T00:00:00"/>
    <n v="6"/>
    <x v="1"/>
    <n v="271400"/>
    <n v="41400"/>
    <n v="143"/>
    <x v="557"/>
    <s v="07773559968"/>
  </r>
  <r>
    <s v="190010011"/>
    <s v="Khan Auto Electricals"/>
    <x v="2"/>
    <x v="2"/>
    <s v="4227291979"/>
    <d v="2024-08-13T00:00:00"/>
    <n v="8"/>
    <x v="1"/>
    <n v="51330"/>
    <n v="51330"/>
    <n v="98"/>
    <x v="741"/>
    <s v="07773559968"/>
  </r>
  <r>
    <s v="190010011"/>
    <s v="Khan Auto Electricals"/>
    <x v="2"/>
    <x v="2"/>
    <s v="4227291980"/>
    <d v="2024-08-13T00:00:00"/>
    <n v="8"/>
    <x v="1"/>
    <n v="10163"/>
    <n v="10163"/>
    <n v="98"/>
    <x v="742"/>
    <s v="07773559968"/>
  </r>
  <r>
    <s v="190010011"/>
    <s v="Khan Auto Electricals"/>
    <x v="2"/>
    <x v="2"/>
    <s v="4227304402"/>
    <d v="2024-10-31T00:00:00"/>
    <n v="10"/>
    <x v="1"/>
    <n v="12567"/>
    <n v="12567"/>
    <n v="19"/>
    <x v="3"/>
    <s v="07773559968"/>
  </r>
  <r>
    <s v="190010683"/>
    <s v="New Liberty Motors (Pvt) Ltd"/>
    <x v="2"/>
    <x v="2"/>
    <s v="4227218906"/>
    <d v="2022-08-31T00:00:00"/>
    <n v="8"/>
    <x v="6"/>
    <n v="6586"/>
    <n v="6586"/>
    <n v="811"/>
    <x v="743"/>
    <s v="0112459420"/>
  </r>
  <r>
    <s v="190010683"/>
    <s v="New Liberty Motors (Pvt) Ltd"/>
    <x v="2"/>
    <x v="2"/>
    <s v="4227304107"/>
    <d v="2024-10-31T00:00:00"/>
    <n v="10"/>
    <x v="1"/>
    <n v="4366"/>
    <n v="4366"/>
    <n v="19"/>
    <x v="3"/>
    <s v="0112459420"/>
  </r>
  <r>
    <s v="190010769"/>
    <s v="Premadasa Auto Cables and Engineeri"/>
    <x v="2"/>
    <x v="2"/>
    <s v="4227217681"/>
    <d v="2022-08-19T00:00:00"/>
    <n v="8"/>
    <x v="6"/>
    <n v="21194"/>
    <n v="1766"/>
    <n v="823"/>
    <x v="744"/>
    <s v="0117200703"/>
  </r>
  <r>
    <s v="190010769"/>
    <s v="Premadasa Auto Cables and Engineeri"/>
    <x v="2"/>
    <x v="2"/>
    <s v="4227217810"/>
    <d v="2022-08-22T00:00:00"/>
    <n v="8"/>
    <x v="6"/>
    <n v="10752"/>
    <n v="10752"/>
    <n v="820"/>
    <x v="745"/>
    <s v="0117200703"/>
  </r>
  <r>
    <s v="190010769"/>
    <s v="Premadasa Auto Cables and Engineeri"/>
    <x v="2"/>
    <x v="2"/>
    <s v="4227269580"/>
    <d v="2024-01-30T00:00:00"/>
    <n v="1"/>
    <x v="1"/>
    <n v="175230"/>
    <n v="5841"/>
    <n v="294"/>
    <x v="746"/>
    <s v="0117200703"/>
  </r>
  <r>
    <s v="190010769"/>
    <s v="Premadasa Auto Cables and Engineeri"/>
    <x v="2"/>
    <x v="2"/>
    <s v="4227269581"/>
    <d v="2024-01-30T00:00:00"/>
    <n v="1"/>
    <x v="1"/>
    <n v="21134"/>
    <n v="21134"/>
    <n v="294"/>
    <x v="747"/>
    <s v="0117200703"/>
  </r>
  <r>
    <s v="190010769"/>
    <s v="Premadasa Auto Cables and Engineeri"/>
    <x v="2"/>
    <x v="2"/>
    <s v="4227285354"/>
    <d v="2024-06-28T00:00:00"/>
    <n v="6"/>
    <x v="1"/>
    <n v="10762"/>
    <n v="10762"/>
    <n v="144"/>
    <x v="748"/>
    <s v="0117200703"/>
  </r>
  <r>
    <s v="190010769"/>
    <s v="Premadasa Auto Cables and Engineeri"/>
    <x v="2"/>
    <x v="2"/>
    <s v="4227294891"/>
    <d v="2024-08-31T00:00:00"/>
    <n v="8"/>
    <x v="1"/>
    <n v="118000"/>
    <n v="118000"/>
    <n v="80"/>
    <x v="3"/>
    <s v="0117200703"/>
  </r>
  <r>
    <s v="190010769"/>
    <s v="Premadasa Auto Cables and Engineeri"/>
    <x v="2"/>
    <x v="2"/>
    <s v="4227303144"/>
    <d v="2024-10-30T00:00:00"/>
    <n v="10"/>
    <x v="1"/>
    <n v="16433"/>
    <n v="16433"/>
    <n v="20"/>
    <x v="3"/>
    <s v="0117200703"/>
  </r>
  <r>
    <s v="190010769"/>
    <s v="Premadasa Auto Cables and Engineeri"/>
    <x v="2"/>
    <x v="2"/>
    <s v="4227303145"/>
    <d v="2024-10-30T00:00:00"/>
    <n v="10"/>
    <x v="1"/>
    <n v="19760"/>
    <n v="19760"/>
    <n v="20"/>
    <x v="3"/>
    <s v="0117200703"/>
  </r>
  <r>
    <s v="190010769"/>
    <s v="Premadasa Auto Cables and Engineeri"/>
    <x v="2"/>
    <x v="2"/>
    <s v="4227304403"/>
    <d v="2024-10-31T00:00:00"/>
    <n v="10"/>
    <x v="1"/>
    <n v="35400"/>
    <n v="35400"/>
    <n v="19"/>
    <x v="3"/>
    <s v="0117200703"/>
  </r>
  <r>
    <s v="190010769"/>
    <s v="Premadasa Auto Cables and Engineeri"/>
    <x v="2"/>
    <x v="2"/>
    <s v="4227305658"/>
    <d v="2024-11-13T00:00:00"/>
    <n v="11"/>
    <x v="1"/>
    <n v="4366"/>
    <n v="4366"/>
    <n v="6"/>
    <x v="3"/>
    <s v="0117200703"/>
  </r>
  <r>
    <s v="190010790"/>
    <s v="St. Jude Oil Mart"/>
    <x v="2"/>
    <x v="2"/>
    <s v="4227257268"/>
    <d v="2023-10-07T00:00:00"/>
    <n v="10"/>
    <x v="0"/>
    <n v="14490"/>
    <n v="14490"/>
    <n v="409"/>
    <x v="749"/>
    <s v="0766732120"/>
  </r>
  <r>
    <s v="190010790"/>
    <s v="St. Jude Oil Mart"/>
    <x v="2"/>
    <x v="2"/>
    <s v="4227266251"/>
    <d v="2023-12-30T00:00:00"/>
    <n v="12"/>
    <x v="0"/>
    <n v="181125"/>
    <n v="90562"/>
    <n v="325"/>
    <x v="750"/>
    <s v="0766732120"/>
  </r>
  <r>
    <s v="190010790"/>
    <s v="St. Jude Oil Mart"/>
    <x v="2"/>
    <x v="2"/>
    <s v="4227266409"/>
    <d v="2024-01-02T00:00:00"/>
    <n v="1"/>
    <x v="1"/>
    <n v="566400"/>
    <n v="566400"/>
    <n v="322"/>
    <x v="751"/>
    <s v="0766732120"/>
  </r>
  <r>
    <s v="190010790"/>
    <s v="St. Jude Oil Mart"/>
    <x v="2"/>
    <x v="2"/>
    <s v="4227298457"/>
    <d v="2024-09-30T00:00:00"/>
    <n v="9"/>
    <x v="1"/>
    <n v="93825"/>
    <n v="93825"/>
    <n v="50"/>
    <x v="3"/>
    <s v="0766732120"/>
  </r>
  <r>
    <s v="190010790"/>
    <s v="St. Jude Oil Mart"/>
    <x v="2"/>
    <x v="2"/>
    <s v="4227304012"/>
    <d v="2024-10-31T00:00:00"/>
    <n v="10"/>
    <x v="1"/>
    <n v="344088"/>
    <n v="344088"/>
    <n v="19"/>
    <x v="3"/>
    <s v="0766732120"/>
  </r>
  <r>
    <s v="190010790"/>
    <s v="St. Jude Oil Mart"/>
    <x v="2"/>
    <x v="2"/>
    <s v="4227304407"/>
    <d v="2024-10-31T00:00:00"/>
    <n v="10"/>
    <x v="1"/>
    <n v="95934"/>
    <n v="95934"/>
    <n v="19"/>
    <x v="3"/>
    <s v="0766732120"/>
  </r>
  <r>
    <s v="190010790"/>
    <s v="St. Jude Oil Mart"/>
    <x v="2"/>
    <x v="2"/>
    <s v="4227304408"/>
    <d v="2024-10-31T00:00:00"/>
    <n v="10"/>
    <x v="1"/>
    <n v="104784"/>
    <n v="104784"/>
    <n v="19"/>
    <x v="3"/>
    <s v="0766732120"/>
  </r>
  <r>
    <s v="190010790"/>
    <s v="St. Jude Oil Mart"/>
    <x v="2"/>
    <x v="2"/>
    <s v="4227304409"/>
    <d v="2024-10-31T00:00:00"/>
    <n v="10"/>
    <x v="1"/>
    <n v="26196"/>
    <n v="26196"/>
    <n v="19"/>
    <x v="3"/>
    <s v="0766732120"/>
  </r>
  <r>
    <s v="190010790"/>
    <s v="St. Jude Oil Mart"/>
    <x v="2"/>
    <x v="2"/>
    <s v="4227304410"/>
    <d v="2024-10-31T00:00:00"/>
    <n v="10"/>
    <x v="1"/>
    <n v="57113"/>
    <n v="57113"/>
    <n v="19"/>
    <x v="3"/>
    <s v="0766732120"/>
  </r>
  <r>
    <s v="190010790"/>
    <s v="St. Jude Oil Mart"/>
    <x v="2"/>
    <x v="2"/>
    <s v="4227305090"/>
    <d v="2024-11-07T00:00:00"/>
    <n v="11"/>
    <x v="1"/>
    <n v="17110"/>
    <n v="17110"/>
    <n v="12"/>
    <x v="3"/>
    <s v="0766732120"/>
  </r>
  <r>
    <s v="190010790"/>
    <s v="St. Jude Oil Mart"/>
    <x v="2"/>
    <x v="2"/>
    <s v="5227015934"/>
    <d v="2024-11-12T00:00:00"/>
    <n v="11"/>
    <x v="1"/>
    <n v="-90563"/>
    <n v="-90563"/>
    <n v="7"/>
    <x v="3"/>
    <s v="0766732120"/>
  </r>
  <r>
    <s v="190010817"/>
    <s v="Premarathne and Company"/>
    <x v="2"/>
    <x v="2"/>
    <s v="4227299836"/>
    <d v="2024-10-09T00:00:00"/>
    <n v="10"/>
    <x v="1"/>
    <n v="206500"/>
    <n v="206500"/>
    <n v="41"/>
    <x v="3"/>
    <s v=""/>
  </r>
  <r>
    <s v="190011148"/>
    <s v="Colombo South CO-OP City"/>
    <x v="2"/>
    <x v="2"/>
    <s v="4227280888"/>
    <d v="2024-05-17T00:00:00"/>
    <n v="5"/>
    <x v="1"/>
    <n v="27527"/>
    <n v="5473"/>
    <n v="186"/>
    <x v="752"/>
    <s v="0770744574"/>
  </r>
  <r>
    <s v="190011156"/>
    <s v="C. S. Auto Glow"/>
    <x v="2"/>
    <x v="2"/>
    <s v="RTN CHQ - 49"/>
    <d v="2022-10-27T00:00:00"/>
    <n v="10"/>
    <x v="6"/>
    <n v="28377"/>
    <n v="28377"/>
    <n v="754"/>
    <x v="753"/>
    <s v="0777115416"/>
  </r>
  <r>
    <s v="190011156"/>
    <s v="C. S. Auto Glow"/>
    <x v="2"/>
    <x v="2"/>
    <s v="4227215058"/>
    <d v="2022-07-04T00:00:00"/>
    <n v="7"/>
    <x v="6"/>
    <n v="170021"/>
    <n v="1544"/>
    <n v="869"/>
    <x v="754"/>
    <s v="0777115416"/>
  </r>
  <r>
    <s v="190011156"/>
    <s v="C. S. Auto Glow"/>
    <x v="2"/>
    <x v="2"/>
    <s v="4227225703"/>
    <d v="2022-11-18T00:00:00"/>
    <n v="11"/>
    <x v="6"/>
    <n v="5700"/>
    <n v="5700"/>
    <n v="732"/>
    <x v="755"/>
    <s v="0777115416"/>
  </r>
  <r>
    <s v="190011240"/>
    <s v="D. R. Auto A/C"/>
    <x v="2"/>
    <x v="2"/>
    <s v="4227295019"/>
    <d v="2024-08-31T00:00:00"/>
    <n v="8"/>
    <x v="1"/>
    <n v="113280"/>
    <n v="86448"/>
    <n v="80"/>
    <x v="3"/>
    <s v="0112770478"/>
  </r>
  <r>
    <s v="190011240"/>
    <s v="D. R. Auto A/C"/>
    <x v="2"/>
    <x v="2"/>
    <s v="4227301898"/>
    <d v="2024-10-23T00:00:00"/>
    <n v="10"/>
    <x v="1"/>
    <n v="31860"/>
    <n v="31860"/>
    <n v="27"/>
    <x v="3"/>
    <s v="0112770478"/>
  </r>
  <r>
    <s v="190011481"/>
    <s v="Hi Tech Auto Engineering"/>
    <x v="2"/>
    <x v="2"/>
    <s v="235838"/>
    <d v="2024-09-28T00:00:00"/>
    <n v="9"/>
    <x v="1"/>
    <n v="-56640"/>
    <n v="-56640"/>
    <n v="52"/>
    <x v="3"/>
    <s v="0713052888"/>
  </r>
  <r>
    <s v="190011481"/>
    <s v="Hi Tech Auto Engineering"/>
    <x v="2"/>
    <x v="2"/>
    <s v="4227285841"/>
    <d v="2024-06-29T00:00:00"/>
    <n v="6"/>
    <x v="1"/>
    <n v="271400"/>
    <n v="201360"/>
    <n v="143"/>
    <x v="756"/>
    <s v="0713052888"/>
  </r>
  <r>
    <s v="190011609"/>
    <s v="S. L. Air Conditioning Company (Pvt"/>
    <x v="2"/>
    <x v="2"/>
    <s v="4227245511"/>
    <d v="2023-06-26T00:00:00"/>
    <n v="6"/>
    <x v="0"/>
    <n v="212520"/>
    <n v="1090"/>
    <n v="512"/>
    <x v="757"/>
    <s v="0714957100"/>
  </r>
  <r>
    <s v="190011609"/>
    <s v="S. L. Air Conditioning Company (Pvt"/>
    <x v="2"/>
    <x v="2"/>
    <s v="4227295086"/>
    <d v="2024-08-31T00:00:00"/>
    <n v="8"/>
    <x v="1"/>
    <n v="18408"/>
    <n v="0"/>
    <n v="80"/>
    <x v="3"/>
    <s v="0714957100"/>
  </r>
  <r>
    <s v="190011609"/>
    <s v="S. L. Air Conditioning Company (Pvt"/>
    <x v="2"/>
    <x v="2"/>
    <s v="4227301430"/>
    <d v="2024-10-21T00:00:00"/>
    <n v="10"/>
    <x v="1"/>
    <n v="477900"/>
    <n v="477900"/>
    <n v="29"/>
    <x v="3"/>
    <s v="0714957100"/>
  </r>
  <r>
    <s v="190011611"/>
    <s v="Slip &amp; Shine (Pvt) Ltd"/>
    <x v="2"/>
    <x v="2"/>
    <s v="234595 / 648213"/>
    <d v="2024-09-23T00:00:00"/>
    <n v="9"/>
    <x v="1"/>
    <n v="-0.1"/>
    <n v="-0.1"/>
    <n v="57"/>
    <x v="3"/>
    <s v="0772366940"/>
  </r>
  <r>
    <s v="190011611"/>
    <s v="Slip &amp; Shine (Pvt) Ltd"/>
    <x v="2"/>
    <x v="2"/>
    <s v="234596 / 648211"/>
    <d v="2024-09-23T00:00:00"/>
    <n v="9"/>
    <x v="1"/>
    <n v="-63059"/>
    <n v="-63059"/>
    <n v="57"/>
    <x v="3"/>
    <s v="0772366940"/>
  </r>
  <r>
    <s v="190011611"/>
    <s v="Slip &amp; Shine (Pvt) Ltd"/>
    <x v="2"/>
    <x v="2"/>
    <s v="238070 / 648190"/>
    <d v="2024-10-24T00:00:00"/>
    <n v="10"/>
    <x v="1"/>
    <n v="-0.12"/>
    <n v="-0.12"/>
    <n v="26"/>
    <x v="3"/>
    <s v="0772366940"/>
  </r>
  <r>
    <s v="190011611"/>
    <s v="Slip &amp; Shine (Pvt) Ltd"/>
    <x v="2"/>
    <x v="2"/>
    <s v="4227248273"/>
    <d v="2023-07-22T00:00:00"/>
    <n v="7"/>
    <x v="0"/>
    <n v="80592"/>
    <n v="11329.1"/>
    <n v="486"/>
    <x v="758"/>
    <s v="0772366940"/>
  </r>
  <r>
    <s v="190011611"/>
    <s v="Slip &amp; Shine (Pvt) Ltd"/>
    <x v="2"/>
    <x v="2"/>
    <s v="4227285871"/>
    <d v="2024-06-29T00:00:00"/>
    <n v="6"/>
    <x v="1"/>
    <n v="265500"/>
    <n v="265500"/>
    <n v="143"/>
    <x v="759"/>
    <s v="0772366940"/>
  </r>
  <r>
    <s v="190011611"/>
    <s v="Slip &amp; Shine (Pvt) Ltd"/>
    <x v="2"/>
    <x v="2"/>
    <s v="4227285897"/>
    <d v="2024-06-29T00:00:00"/>
    <n v="6"/>
    <x v="1"/>
    <n v="63059"/>
    <n v="63059"/>
    <n v="143"/>
    <x v="760"/>
    <s v="0772366940"/>
  </r>
  <r>
    <s v="190011611"/>
    <s v="Slip &amp; Shine (Pvt) Ltd"/>
    <x v="2"/>
    <x v="2"/>
    <s v="4227290446"/>
    <d v="2024-07-31T00:00:00"/>
    <n v="7"/>
    <x v="1"/>
    <n v="14750"/>
    <n v="14750"/>
    <n v="111"/>
    <x v="649"/>
    <s v="0772366940"/>
  </r>
  <r>
    <s v="190011611"/>
    <s v="Slip &amp; Shine (Pvt) Ltd"/>
    <x v="2"/>
    <x v="2"/>
    <s v="4227292569"/>
    <d v="2024-08-20T00:00:00"/>
    <n v="8"/>
    <x v="1"/>
    <n v="28320"/>
    <n v="28320"/>
    <n v="91"/>
    <x v="353"/>
    <s v="0772366940"/>
  </r>
  <r>
    <s v="190011611"/>
    <s v="Slip &amp; Shine (Pvt) Ltd"/>
    <x v="2"/>
    <x v="2"/>
    <s v="4227292577"/>
    <d v="2024-08-20T00:00:00"/>
    <n v="8"/>
    <x v="1"/>
    <n v="56266"/>
    <n v="56266"/>
    <n v="91"/>
    <x v="761"/>
    <s v="0772366940"/>
  </r>
  <r>
    <s v="190011611"/>
    <s v="Slip &amp; Shine (Pvt) Ltd"/>
    <x v="2"/>
    <x v="2"/>
    <s v="4227292595"/>
    <d v="2024-08-20T00:00:00"/>
    <n v="8"/>
    <x v="1"/>
    <n v="32285"/>
    <n v="32285"/>
    <n v="91"/>
    <x v="334"/>
    <s v="0772366940"/>
  </r>
  <r>
    <s v="190011611"/>
    <s v="Slip &amp; Shine (Pvt) Ltd"/>
    <x v="2"/>
    <x v="2"/>
    <s v="4227295285"/>
    <d v="2024-09-03T00:00:00"/>
    <n v="9"/>
    <x v="1"/>
    <n v="69950"/>
    <n v="69950"/>
    <n v="77"/>
    <x v="3"/>
    <s v="0772366940"/>
  </r>
  <r>
    <s v="190011611"/>
    <s v="Slip &amp; Shine (Pvt) Ltd"/>
    <x v="2"/>
    <x v="2"/>
    <s v="4227295286"/>
    <d v="2024-09-03T00:00:00"/>
    <n v="9"/>
    <x v="1"/>
    <n v="26125"/>
    <n v="26125"/>
    <n v="77"/>
    <x v="3"/>
    <s v="0772366940"/>
  </r>
  <r>
    <s v="190011611"/>
    <s v="Slip &amp; Shine (Pvt) Ltd"/>
    <x v="2"/>
    <x v="2"/>
    <s v="4227297286"/>
    <d v="2024-09-20T00:00:00"/>
    <n v="9"/>
    <x v="1"/>
    <n v="51203"/>
    <n v="51203"/>
    <n v="60"/>
    <x v="3"/>
    <s v="0772366940"/>
  </r>
  <r>
    <s v="190011611"/>
    <s v="Slip &amp; Shine (Pvt) Ltd"/>
    <x v="2"/>
    <x v="2"/>
    <s v="4227301897"/>
    <d v="2024-10-23T00:00:00"/>
    <n v="10"/>
    <x v="1"/>
    <n v="102360"/>
    <n v="102360"/>
    <n v="27"/>
    <x v="3"/>
    <s v="0772366940"/>
  </r>
  <r>
    <s v="190011611"/>
    <s v="Slip &amp; Shine (Pvt) Ltd"/>
    <x v="2"/>
    <x v="2"/>
    <s v="4227304789"/>
    <d v="2024-11-05T00:00:00"/>
    <n v="11"/>
    <x v="1"/>
    <n v="11682"/>
    <n v="11682"/>
    <n v="14"/>
    <x v="3"/>
    <s v="0772366940"/>
  </r>
  <r>
    <s v="190011611"/>
    <s v="Slip &amp; Shine (Pvt) Ltd"/>
    <x v="2"/>
    <x v="2"/>
    <s v="4227305330"/>
    <d v="2024-11-09T00:00:00"/>
    <n v="11"/>
    <x v="1"/>
    <n v="32285"/>
    <n v="32285"/>
    <n v="10"/>
    <x v="3"/>
    <s v="0772366940"/>
  </r>
  <r>
    <s v="190011611"/>
    <s v="Slip &amp; Shine (Pvt) Ltd"/>
    <x v="2"/>
    <x v="2"/>
    <s v="4227305787"/>
    <d v="2024-11-13T00:00:00"/>
    <n v="11"/>
    <x v="1"/>
    <n v="55272"/>
    <n v="55272"/>
    <n v="6"/>
    <x v="3"/>
    <s v="0772366940"/>
  </r>
  <r>
    <s v="190011614"/>
    <s v="Divine Auto Bay (Pvt) Ltd"/>
    <x v="2"/>
    <x v="2"/>
    <s v="4227182413"/>
    <d v="2021-07-29T00:00:00"/>
    <n v="7"/>
    <x v="4"/>
    <n v="250521"/>
    <n v="74395"/>
    <n v="1209"/>
    <x v="762"/>
    <s v="0773309202"/>
  </r>
  <r>
    <s v="190011614"/>
    <s v="Divine Auto Bay (Pvt) Ltd"/>
    <x v="2"/>
    <x v="2"/>
    <s v="4227183778"/>
    <d v="2021-08-12T00:00:00"/>
    <n v="8"/>
    <x v="4"/>
    <n v="4752"/>
    <n v="4752"/>
    <n v="1195"/>
    <x v="763"/>
    <s v="0773309202"/>
  </r>
  <r>
    <s v="190011614"/>
    <s v="Divine Auto Bay (Pvt) Ltd"/>
    <x v="2"/>
    <x v="2"/>
    <s v="4227184228"/>
    <d v="2021-08-17T00:00:00"/>
    <n v="8"/>
    <x v="4"/>
    <n v="6156"/>
    <n v="6156"/>
    <n v="1190"/>
    <x v="262"/>
    <s v="0773309202"/>
  </r>
  <r>
    <s v="190011614"/>
    <s v="Divine Auto Bay (Pvt) Ltd"/>
    <x v="2"/>
    <x v="2"/>
    <s v="4227184345"/>
    <d v="2021-08-17T00:00:00"/>
    <n v="8"/>
    <x v="4"/>
    <n v="14850"/>
    <n v="14850"/>
    <n v="1190"/>
    <x v="764"/>
    <s v="0773309202"/>
  </r>
  <r>
    <s v="190011614"/>
    <s v="Divine Auto Bay (Pvt) Ltd"/>
    <x v="2"/>
    <x v="2"/>
    <s v="4227184346"/>
    <d v="2021-08-17T00:00:00"/>
    <n v="8"/>
    <x v="4"/>
    <n v="10530"/>
    <n v="10530"/>
    <n v="1190"/>
    <x v="214"/>
    <s v="0773309202"/>
  </r>
  <r>
    <s v="190011638"/>
    <s v="Mali Enterprises"/>
    <x v="2"/>
    <x v="2"/>
    <s v="4227238040"/>
    <d v="2023-03-31T00:00:00"/>
    <n v="3"/>
    <x v="0"/>
    <n v="73140"/>
    <n v="1000"/>
    <n v="599"/>
    <x v="765"/>
    <s v="0766588202"/>
  </r>
  <r>
    <s v="190011638"/>
    <s v="Mali Enterprises"/>
    <x v="2"/>
    <x v="2"/>
    <s v="4227249806"/>
    <d v="2023-08-07T00:00:00"/>
    <n v="8"/>
    <x v="0"/>
    <n v="27686"/>
    <n v="27686"/>
    <n v="470"/>
    <x v="766"/>
    <s v="0766588202"/>
  </r>
  <r>
    <s v="190011638"/>
    <s v="Mali Enterprises"/>
    <x v="2"/>
    <x v="2"/>
    <s v="4227251835"/>
    <d v="2023-08-25T00:00:00"/>
    <n v="8"/>
    <x v="0"/>
    <n v="3536"/>
    <n v="3536"/>
    <n v="452"/>
    <x v="767"/>
    <s v="0766588202"/>
  </r>
  <r>
    <s v="190011638"/>
    <s v="Mali Enterprises"/>
    <x v="2"/>
    <x v="2"/>
    <s v="4227269583"/>
    <d v="2024-01-30T00:00:00"/>
    <n v="1"/>
    <x v="1"/>
    <n v="31860"/>
    <n v="31860"/>
    <n v="294"/>
    <x v="160"/>
    <s v="0766588202"/>
  </r>
  <r>
    <s v="190011638"/>
    <s v="Mali Enterprises"/>
    <x v="2"/>
    <x v="2"/>
    <s v="4227269584"/>
    <d v="2024-01-30T00:00:00"/>
    <n v="1"/>
    <x v="1"/>
    <n v="14493"/>
    <n v="14493"/>
    <n v="294"/>
    <x v="768"/>
    <s v="0766588202"/>
  </r>
  <r>
    <s v="190011638"/>
    <s v="Mali Enterprises"/>
    <x v="2"/>
    <x v="2"/>
    <s v="4227269698"/>
    <d v="2024-01-31T00:00:00"/>
    <n v="1"/>
    <x v="1"/>
    <n v="15930"/>
    <n v="15930"/>
    <n v="293"/>
    <x v="683"/>
    <s v="0766588202"/>
  </r>
  <r>
    <s v="190011638"/>
    <s v="Mali Enterprises"/>
    <x v="2"/>
    <x v="2"/>
    <s v="4227272258"/>
    <d v="2024-02-26T00:00:00"/>
    <n v="2"/>
    <x v="1"/>
    <n v="7965"/>
    <n v="7965"/>
    <n v="267"/>
    <x v="769"/>
    <s v="0766588202"/>
  </r>
  <r>
    <s v="190011638"/>
    <s v="Mali Enterprises"/>
    <x v="2"/>
    <x v="2"/>
    <s v="5227015430"/>
    <d v="2024-08-12T00:00:00"/>
    <n v="8"/>
    <x v="1"/>
    <n v="-27686"/>
    <n v="-27686"/>
    <n v="99"/>
    <x v="770"/>
    <s v="0766588202"/>
  </r>
  <r>
    <s v="190011638"/>
    <s v="Mali Enterprises"/>
    <x v="2"/>
    <x v="2"/>
    <s v="5227015431"/>
    <d v="2024-08-12T00:00:00"/>
    <n v="8"/>
    <x v="1"/>
    <n v="-3536"/>
    <n v="-3536"/>
    <n v="99"/>
    <x v="771"/>
    <s v="0766588202"/>
  </r>
  <r>
    <s v="190011680"/>
    <s v="Crown Auto Care (Pvt) Ltd"/>
    <x v="2"/>
    <x v="2"/>
    <s v="234590"/>
    <d v="2024-09-19T00:00:00"/>
    <n v="9"/>
    <x v="1"/>
    <n v="-0.02"/>
    <n v="-0.02"/>
    <n v="61"/>
    <x v="3"/>
    <s v="0113431848"/>
  </r>
  <r>
    <s v="190011680"/>
    <s v="Crown Auto Care (Pvt) Ltd"/>
    <x v="2"/>
    <x v="2"/>
    <s v="239820/645474"/>
    <d v="2024-11-18T00:00:00"/>
    <n v="11"/>
    <x v="1"/>
    <n v="-0.3"/>
    <n v="-0.3"/>
    <n v="1"/>
    <x v="3"/>
    <s v="0113431848"/>
  </r>
  <r>
    <s v="190011680"/>
    <s v="Crown Auto Care (Pvt) Ltd"/>
    <x v="2"/>
    <x v="2"/>
    <s v="4227282523"/>
    <d v="2024-05-31T00:00:00"/>
    <n v="5"/>
    <x v="1"/>
    <n v="53277"/>
    <n v="2803.68"/>
    <n v="172"/>
    <x v="772"/>
    <s v="0113431848"/>
  </r>
  <r>
    <s v="190011680"/>
    <s v="Crown Auto Care (Pvt) Ltd"/>
    <x v="2"/>
    <x v="2"/>
    <s v="4227285093"/>
    <d v="2024-06-27T00:00:00"/>
    <n v="6"/>
    <x v="1"/>
    <n v="4148"/>
    <n v="0.6"/>
    <n v="145"/>
    <x v="773"/>
    <s v="0113431848"/>
  </r>
  <r>
    <s v="190011680"/>
    <s v="Crown Auto Care (Pvt) Ltd"/>
    <x v="2"/>
    <x v="2"/>
    <s v="4227285281"/>
    <d v="2024-06-28T00:00:00"/>
    <n v="6"/>
    <x v="1"/>
    <n v="13063"/>
    <n v="0.4"/>
    <n v="144"/>
    <x v="618"/>
    <s v="0113431848"/>
  </r>
  <r>
    <s v="190011680"/>
    <s v="Crown Auto Care (Pvt) Ltd"/>
    <x v="2"/>
    <x v="2"/>
    <s v="4227291448"/>
    <d v="2024-08-09T00:00:00"/>
    <n v="8"/>
    <x v="1"/>
    <n v="25671"/>
    <n v="25671"/>
    <n v="102"/>
    <x v="774"/>
    <s v="0113431848"/>
  </r>
  <r>
    <s v="190011680"/>
    <s v="Crown Auto Care (Pvt) Ltd"/>
    <x v="2"/>
    <x v="2"/>
    <s v="4227291449"/>
    <d v="2024-08-09T00:00:00"/>
    <n v="8"/>
    <x v="1"/>
    <n v="11328"/>
    <n v="11328"/>
    <n v="102"/>
    <x v="449"/>
    <s v="0113431848"/>
  </r>
  <r>
    <s v="190011680"/>
    <s v="Crown Auto Care (Pvt) Ltd"/>
    <x v="2"/>
    <x v="2"/>
    <s v="4227291985"/>
    <d v="2024-08-13T00:00:00"/>
    <n v="8"/>
    <x v="1"/>
    <n v="24391"/>
    <n v="24391"/>
    <n v="98"/>
    <x v="775"/>
    <s v="0113431848"/>
  </r>
  <r>
    <s v="190011680"/>
    <s v="Crown Auto Care (Pvt) Ltd"/>
    <x v="2"/>
    <x v="2"/>
    <s v="4227293552"/>
    <d v="2024-08-26T00:00:00"/>
    <n v="8"/>
    <x v="1"/>
    <n v="51646"/>
    <n v="51646"/>
    <n v="85"/>
    <x v="3"/>
    <s v="0113431848"/>
  </r>
  <r>
    <s v="190011680"/>
    <s v="Crown Auto Care (Pvt) Ltd"/>
    <x v="2"/>
    <x v="2"/>
    <s v="4227294398"/>
    <d v="2024-08-30T00:00:00"/>
    <n v="8"/>
    <x v="1"/>
    <n v="4148"/>
    <n v="4148"/>
    <n v="81"/>
    <x v="3"/>
    <s v="0113431848"/>
  </r>
  <r>
    <s v="190011680"/>
    <s v="Crown Auto Care (Pvt) Ltd"/>
    <x v="2"/>
    <x v="2"/>
    <s v="4227297287"/>
    <d v="2024-09-20T00:00:00"/>
    <n v="9"/>
    <x v="1"/>
    <n v="41914"/>
    <n v="41914"/>
    <n v="60"/>
    <x v="3"/>
    <s v="0113431848"/>
  </r>
  <r>
    <s v="190011680"/>
    <s v="Crown Auto Care (Pvt) Ltd"/>
    <x v="2"/>
    <x v="2"/>
    <s v="4227297695"/>
    <d v="2024-09-26T00:00:00"/>
    <n v="9"/>
    <x v="1"/>
    <n v="4305"/>
    <n v="4305"/>
    <n v="54"/>
    <x v="3"/>
    <s v="0113431848"/>
  </r>
  <r>
    <s v="190011680"/>
    <s v="Crown Auto Care (Pvt) Ltd"/>
    <x v="2"/>
    <x v="2"/>
    <s v="4227298481"/>
    <d v="2024-09-30T00:00:00"/>
    <n v="9"/>
    <x v="1"/>
    <n v="44683"/>
    <n v="44683"/>
    <n v="50"/>
    <x v="3"/>
    <s v="0113431848"/>
  </r>
  <r>
    <s v="190011680"/>
    <s v="Crown Auto Care (Pvt) Ltd"/>
    <x v="2"/>
    <x v="2"/>
    <s v="4227301813"/>
    <d v="2024-10-23T00:00:00"/>
    <n v="10"/>
    <x v="1"/>
    <n v="12914"/>
    <n v="12914"/>
    <n v="27"/>
    <x v="3"/>
    <s v="0113431848"/>
  </r>
  <r>
    <s v="190011680"/>
    <s v="Crown Auto Care (Pvt) Ltd"/>
    <x v="2"/>
    <x v="2"/>
    <s v="4227305167"/>
    <d v="2024-11-08T00:00:00"/>
    <n v="11"/>
    <x v="1"/>
    <n v="92394"/>
    <n v="92394"/>
    <n v="11"/>
    <x v="3"/>
    <s v="0113431848"/>
  </r>
  <r>
    <s v="190011680"/>
    <s v="Crown Auto Care (Pvt) Ltd"/>
    <x v="2"/>
    <x v="2"/>
    <s v="4227305326"/>
    <d v="2024-11-09T00:00:00"/>
    <n v="11"/>
    <x v="1"/>
    <n v="13063"/>
    <n v="13063"/>
    <n v="10"/>
    <x v="3"/>
    <s v="0113431848"/>
  </r>
  <r>
    <s v="190011680"/>
    <s v="Crown Auto Care (Pvt) Ltd"/>
    <x v="2"/>
    <x v="2"/>
    <s v="4227305342"/>
    <d v="2024-11-09T00:00:00"/>
    <n v="11"/>
    <x v="1"/>
    <n v="11328"/>
    <n v="11328"/>
    <n v="10"/>
    <x v="3"/>
    <s v="0113431848"/>
  </r>
  <r>
    <s v="190011680"/>
    <s v="Crown Auto Care (Pvt) Ltd"/>
    <x v="2"/>
    <x v="2"/>
    <s v="5227014359"/>
    <d v="2024-01-10T00:00:00"/>
    <n v="1"/>
    <x v="1"/>
    <n v="-2243"/>
    <n v="-2243"/>
    <n v="314"/>
    <x v="776"/>
    <s v="0113431848"/>
  </r>
  <r>
    <s v="190011680"/>
    <s v="Crown Auto Care (Pvt) Ltd"/>
    <x v="2"/>
    <x v="2"/>
    <s v="5227014360"/>
    <d v="2024-01-10T00:00:00"/>
    <n v="1"/>
    <x v="1"/>
    <n v="-2243"/>
    <n v="-2243"/>
    <n v="314"/>
    <x v="776"/>
    <s v="0113431848"/>
  </r>
  <r>
    <s v="190011680"/>
    <s v="Crown Auto Care (Pvt) Ltd"/>
    <x v="2"/>
    <x v="2"/>
    <s v="5227014361"/>
    <d v="2024-01-10T00:00:00"/>
    <n v="1"/>
    <x v="1"/>
    <n v="-2243"/>
    <n v="-2243"/>
    <n v="314"/>
    <x v="776"/>
    <s v="0113431848"/>
  </r>
  <r>
    <s v="190011680"/>
    <s v="Crown Auto Care (Pvt) Ltd"/>
    <x v="2"/>
    <x v="2"/>
    <s v="5227014362"/>
    <d v="2024-01-10T00:00:00"/>
    <n v="1"/>
    <x v="1"/>
    <n v="-1415"/>
    <n v="-1415"/>
    <n v="314"/>
    <x v="777"/>
    <s v="0113431848"/>
  </r>
  <r>
    <s v="190011680"/>
    <s v="Crown Auto Care (Pvt) Ltd"/>
    <x v="2"/>
    <x v="2"/>
    <s v="5227014363"/>
    <d v="2024-01-10T00:00:00"/>
    <n v="1"/>
    <x v="1"/>
    <n v="-707"/>
    <n v="-707"/>
    <n v="314"/>
    <x v="778"/>
    <s v="0113431848"/>
  </r>
  <r>
    <s v="190011735"/>
    <s v="Hasan Auto Electricals"/>
    <x v="2"/>
    <x v="2"/>
    <s v="4227298435"/>
    <d v="2024-09-30T00:00:00"/>
    <n v="9"/>
    <x v="1"/>
    <n v="15576"/>
    <n v="9324"/>
    <n v="50"/>
    <x v="3"/>
    <s v="0777639292"/>
  </r>
  <r>
    <s v="190012053"/>
    <s v="Dulanjali Hardware"/>
    <x v="2"/>
    <x v="2"/>
    <s v="4227281388"/>
    <d v="2024-05-22T00:00:00"/>
    <n v="5"/>
    <x v="1"/>
    <n v="7567"/>
    <n v="2365"/>
    <n v="181"/>
    <x v="779"/>
    <s v="0785860476"/>
  </r>
  <r>
    <s v="190012053"/>
    <s v="Dulanjali Hardware"/>
    <x v="2"/>
    <x v="2"/>
    <s v="4227292955"/>
    <d v="2024-08-22T00:00:00"/>
    <n v="8"/>
    <x v="1"/>
    <n v="7478"/>
    <n v="59"/>
    <n v="89"/>
    <x v="3"/>
    <s v="0785860476"/>
  </r>
  <r>
    <s v="190012053"/>
    <s v="Dulanjali Hardware"/>
    <x v="2"/>
    <x v="2"/>
    <s v="4227296979"/>
    <d v="2024-09-20T00:00:00"/>
    <n v="9"/>
    <x v="1"/>
    <n v="5576"/>
    <n v="5576"/>
    <n v="60"/>
    <x v="3"/>
    <s v="0785860476"/>
  </r>
  <r>
    <s v="190012053"/>
    <s v="Dulanjali Hardware"/>
    <x v="2"/>
    <x v="2"/>
    <s v="4227306260"/>
    <d v="2024-11-19T00:00:00"/>
    <n v="11"/>
    <x v="1"/>
    <n v="6062"/>
    <n v="6062"/>
    <n v="0"/>
    <x v="3"/>
    <s v="0785860476"/>
  </r>
  <r>
    <s v="190012055"/>
    <s v="Central Motors"/>
    <x v="2"/>
    <x v="2"/>
    <s v="4227184255"/>
    <d v="2021-08-17T00:00:00"/>
    <n v="8"/>
    <x v="4"/>
    <n v="15034"/>
    <n v="751"/>
    <n v="1190"/>
    <x v="780"/>
    <s v="0776850960"/>
  </r>
  <r>
    <s v="190012055"/>
    <s v="Central Motors"/>
    <x v="2"/>
    <x v="2"/>
    <s v="4227275083"/>
    <d v="2024-03-20T00:00:00"/>
    <n v="3"/>
    <x v="1"/>
    <n v="18408"/>
    <n v="18408"/>
    <n v="244"/>
    <x v="781"/>
    <s v="0776850960"/>
  </r>
  <r>
    <s v="190012133"/>
    <s v="Classic Auto Accessories"/>
    <x v="2"/>
    <x v="2"/>
    <s v="4227214934"/>
    <d v="2022-06-30T00:00:00"/>
    <n v="6"/>
    <x v="6"/>
    <n v="73920"/>
    <n v="10306"/>
    <n v="873"/>
    <x v="782"/>
    <s v="0722767979"/>
  </r>
  <r>
    <s v="190012133"/>
    <s v="Classic Auto Accessories"/>
    <x v="2"/>
    <x v="2"/>
    <s v="4227298287"/>
    <d v="2024-09-30T00:00:00"/>
    <n v="9"/>
    <x v="1"/>
    <n v="49914"/>
    <n v="49914"/>
    <n v="50"/>
    <x v="3"/>
    <s v="0722767979"/>
  </r>
  <r>
    <s v="190012187"/>
    <s v="The Blue Star Garage"/>
    <x v="2"/>
    <x v="2"/>
    <s v="4227292035"/>
    <d v="2024-08-14T00:00:00"/>
    <n v="8"/>
    <x v="1"/>
    <n v="34624"/>
    <n v="34624"/>
    <n v="97"/>
    <x v="783"/>
    <s v="0771536293"/>
  </r>
  <r>
    <s v="190012187"/>
    <s v="The Blue Star Garage"/>
    <x v="2"/>
    <x v="2"/>
    <s v="4227292036"/>
    <d v="2024-08-14T00:00:00"/>
    <n v="8"/>
    <x v="1"/>
    <n v="22798"/>
    <n v="22798"/>
    <n v="97"/>
    <x v="784"/>
    <s v="0771536293"/>
  </r>
  <r>
    <s v="190012187"/>
    <s v="The Blue Star Garage"/>
    <x v="2"/>
    <x v="2"/>
    <s v="4227292130"/>
    <d v="2024-08-14T00:00:00"/>
    <n v="8"/>
    <x v="1"/>
    <n v="28320"/>
    <n v="28320"/>
    <n v="97"/>
    <x v="353"/>
    <s v="0771536293"/>
  </r>
  <r>
    <s v="190012187"/>
    <s v="The Blue Star Garage"/>
    <x v="2"/>
    <x v="2"/>
    <s v="4227292155"/>
    <d v="2024-08-14T00:00:00"/>
    <n v="8"/>
    <x v="1"/>
    <n v="31495"/>
    <n v="31495"/>
    <n v="97"/>
    <x v="785"/>
    <s v="0771536293"/>
  </r>
  <r>
    <s v="190012187"/>
    <s v="The Blue Star Garage"/>
    <x v="2"/>
    <x v="2"/>
    <s v="4227296177"/>
    <d v="2024-09-12T00:00:00"/>
    <n v="9"/>
    <x v="1"/>
    <n v="11328"/>
    <n v="11328"/>
    <n v="68"/>
    <x v="3"/>
    <s v="0771536293"/>
  </r>
  <r>
    <s v="190012187"/>
    <s v="The Blue Star Garage"/>
    <x v="2"/>
    <x v="2"/>
    <s v="4227305796"/>
    <d v="2024-11-13T00:00:00"/>
    <n v="11"/>
    <x v="1"/>
    <n v="8732"/>
    <n v="8732"/>
    <n v="6"/>
    <x v="3"/>
    <s v="0771536293"/>
  </r>
  <r>
    <s v="190012187"/>
    <s v="The Blue Star Garage"/>
    <x v="2"/>
    <x v="2"/>
    <s v="4227305797"/>
    <d v="2024-11-13T00:00:00"/>
    <n v="11"/>
    <x v="1"/>
    <n v="4531"/>
    <n v="4531"/>
    <n v="6"/>
    <x v="3"/>
    <s v="0771536293"/>
  </r>
  <r>
    <s v="190012252"/>
    <s v="Shakaf Garage"/>
    <x v="2"/>
    <x v="2"/>
    <s v="220044"/>
    <d v="2024-03-21T00:00:00"/>
    <n v="3"/>
    <x v="1"/>
    <n v="-261"/>
    <n v="-261"/>
    <n v="243"/>
    <x v="786"/>
    <s v="0714048626"/>
  </r>
  <r>
    <s v="190012252"/>
    <s v="Shakaf Garage"/>
    <x v="2"/>
    <x v="2"/>
    <s v="4227186739"/>
    <d v="2021-09-25T00:00:00"/>
    <n v="9"/>
    <x v="4"/>
    <n v="3564"/>
    <n v="3564"/>
    <n v="1151"/>
    <x v="787"/>
    <s v="0714048626"/>
  </r>
  <r>
    <s v="190012252"/>
    <s v="Shakaf Garage"/>
    <x v="2"/>
    <x v="2"/>
    <s v="4227186740"/>
    <d v="2021-09-25T00:00:00"/>
    <n v="9"/>
    <x v="4"/>
    <n v="7819"/>
    <n v="2519"/>
    <n v="1151"/>
    <x v="622"/>
    <s v="0714048626"/>
  </r>
  <r>
    <s v="190012253"/>
    <s v="Kumara Automobile Mechanic"/>
    <x v="2"/>
    <x v="2"/>
    <s v="4227276602"/>
    <d v="2024-03-28T00:00:00"/>
    <n v="3"/>
    <x v="1"/>
    <n v="96760"/>
    <n v="96760"/>
    <n v="236"/>
    <x v="739"/>
    <s v="0777669224"/>
  </r>
  <r>
    <s v="190012254"/>
    <s v="New Hemal Electrical"/>
    <x v="2"/>
    <x v="2"/>
    <s v="4227186703"/>
    <d v="2021-09-25T00:00:00"/>
    <n v="9"/>
    <x v="4"/>
    <n v="11988"/>
    <n v="4988"/>
    <n v="1151"/>
    <x v="788"/>
    <s v="0701977741"/>
  </r>
  <r>
    <s v="190012256"/>
    <s v="Sunil Sri Motors"/>
    <x v="2"/>
    <x v="2"/>
    <s v="209656"/>
    <d v="2023-05-29T00:00:00"/>
    <n v="5"/>
    <x v="0"/>
    <n v="-146"/>
    <n v="-146"/>
    <n v="540"/>
    <x v="789"/>
    <s v="0112269904"/>
  </r>
  <r>
    <s v="190012366"/>
    <s v="Mahendra Motors"/>
    <x v="2"/>
    <x v="2"/>
    <s v="RTN CHQ - 10546"/>
    <d v="2023-03-16T00:00:00"/>
    <n v="3"/>
    <x v="0"/>
    <n v="115165"/>
    <n v="14065"/>
    <n v="614"/>
    <x v="790"/>
    <s v="0755043094"/>
  </r>
  <r>
    <s v="190012366"/>
    <s v="Mahendra Motors"/>
    <x v="2"/>
    <x v="2"/>
    <s v="193045 / 010546"/>
    <d v="2023-03-15T00:00:00"/>
    <n v="3"/>
    <x v="0"/>
    <n v="-13792"/>
    <n v="-6935"/>
    <n v="615"/>
    <x v="791"/>
    <s v="0755043094"/>
  </r>
  <r>
    <s v="190012366"/>
    <s v="Mahendra Motors"/>
    <x v="2"/>
    <x v="2"/>
    <s v="228426 / 089818"/>
    <d v="2024-09-04T00:00:00"/>
    <n v="9"/>
    <x v="1"/>
    <n v="-3664"/>
    <n v="-3664"/>
    <n v="76"/>
    <x v="3"/>
    <s v="0755043094"/>
  </r>
  <r>
    <s v="190012366"/>
    <s v="Mahendra Motors"/>
    <x v="2"/>
    <x v="2"/>
    <s v="235817"/>
    <d v="2024-09-27T00:00:00"/>
    <n v="9"/>
    <x v="1"/>
    <n v="-100"/>
    <n v="-100"/>
    <n v="53"/>
    <x v="3"/>
    <s v="0755043094"/>
  </r>
  <r>
    <s v="190012366"/>
    <s v="Mahendra Motors"/>
    <x v="2"/>
    <x v="2"/>
    <s v="4227252685"/>
    <d v="2023-08-31T00:00:00"/>
    <n v="8"/>
    <x v="0"/>
    <n v="57477"/>
    <n v="321"/>
    <n v="446"/>
    <x v="792"/>
    <s v="0755043094"/>
  </r>
  <r>
    <s v="190012366"/>
    <s v="Mahendra Motors"/>
    <x v="2"/>
    <x v="2"/>
    <s v="4227265762"/>
    <d v="2023-12-28T00:00:00"/>
    <n v="12"/>
    <x v="0"/>
    <n v="205275"/>
    <n v="132275"/>
    <n v="327"/>
    <x v="793"/>
    <s v="0755043094"/>
  </r>
  <r>
    <s v="190012366"/>
    <s v="Mahendra Motors"/>
    <x v="2"/>
    <x v="2"/>
    <s v="4227296346"/>
    <d v="2024-09-13T00:00:00"/>
    <n v="9"/>
    <x v="1"/>
    <n v="50551"/>
    <n v="50551"/>
    <n v="67"/>
    <x v="3"/>
    <s v="0755043094"/>
  </r>
  <r>
    <s v="190012366"/>
    <s v="Mahendra Motors"/>
    <x v="2"/>
    <x v="2"/>
    <s v="4227298482"/>
    <d v="2024-09-30T00:00:00"/>
    <n v="9"/>
    <x v="1"/>
    <n v="69030"/>
    <n v="69030"/>
    <n v="50"/>
    <x v="3"/>
    <s v="0755043094"/>
  </r>
  <r>
    <s v="190012366"/>
    <s v="Mahendra Motors"/>
    <x v="2"/>
    <x v="2"/>
    <s v="4227298483"/>
    <d v="2024-09-30T00:00:00"/>
    <n v="9"/>
    <x v="1"/>
    <n v="421260"/>
    <n v="421260"/>
    <n v="50"/>
    <x v="3"/>
    <s v="0755043094"/>
  </r>
  <r>
    <s v="190012457"/>
    <s v="Faizer Motors"/>
    <x v="2"/>
    <x v="2"/>
    <s v="4227212531"/>
    <d v="2022-05-31T00:00:00"/>
    <n v="5"/>
    <x v="6"/>
    <n v="25337"/>
    <n v="20337"/>
    <n v="903"/>
    <x v="794"/>
    <s v="0112458663"/>
  </r>
  <r>
    <s v="190012457"/>
    <s v="Faizer Motors"/>
    <x v="2"/>
    <x v="2"/>
    <s v="4227302549"/>
    <d v="2024-10-28T00:00:00"/>
    <n v="10"/>
    <x v="1"/>
    <n v="51920"/>
    <n v="51920"/>
    <n v="22"/>
    <x v="3"/>
    <s v="0112458663"/>
  </r>
  <r>
    <s v="190012457"/>
    <s v="Faizer Motors"/>
    <x v="2"/>
    <x v="2"/>
    <s v="5227015458"/>
    <d v="2024-08-15T00:00:00"/>
    <n v="8"/>
    <x v="1"/>
    <n v="-23669"/>
    <n v="-23669"/>
    <n v="96"/>
    <x v="795"/>
    <s v="0112458663"/>
  </r>
  <r>
    <s v="190012615"/>
    <s v="Madanayake Enterprises"/>
    <x v="2"/>
    <x v="2"/>
    <s v="4227297551"/>
    <d v="2024-09-25T00:00:00"/>
    <n v="9"/>
    <x v="1"/>
    <n v="31884"/>
    <n v="31884"/>
    <n v="55"/>
    <x v="3"/>
    <s v="0112458076"/>
  </r>
  <r>
    <s v="190012888"/>
    <s v="Ashan Auto House"/>
    <x v="2"/>
    <x v="2"/>
    <s v="4227284851"/>
    <d v="2024-06-25T00:00:00"/>
    <n v="6"/>
    <x v="1"/>
    <n v="22066"/>
    <n v="0"/>
    <n v="147"/>
    <x v="345"/>
    <s v="0768797914"/>
  </r>
  <r>
    <s v="190012951"/>
    <s v="New Rainbow Motor Stores"/>
    <x v="2"/>
    <x v="2"/>
    <s v="4227234193"/>
    <d v="2023-02-17T00:00:00"/>
    <n v="2"/>
    <x v="0"/>
    <n v="9373"/>
    <n v="1403"/>
    <n v="641"/>
    <x v="796"/>
    <s v="0765009548"/>
  </r>
  <r>
    <s v="190013130"/>
    <s v="Real Auto Care"/>
    <x v="2"/>
    <x v="2"/>
    <s v="229915 / 000140"/>
    <d v="2024-07-26T00:00:00"/>
    <n v="7"/>
    <x v="1"/>
    <n v="-30000"/>
    <n v="-30000"/>
    <n v="116"/>
    <x v="797"/>
    <s v="0777720939"/>
  </r>
  <r>
    <s v="190013130"/>
    <s v="Real Auto Care"/>
    <x v="2"/>
    <x v="2"/>
    <s v="4227269604"/>
    <d v="2024-01-30T00:00:00"/>
    <n v="1"/>
    <x v="1"/>
    <n v="53128"/>
    <n v="14894"/>
    <n v="294"/>
    <x v="798"/>
    <s v="0777720939"/>
  </r>
  <r>
    <s v="190013130"/>
    <s v="Real Auto Care"/>
    <x v="2"/>
    <x v="2"/>
    <s v="4227270980"/>
    <d v="2024-02-14T00:00:00"/>
    <n v="2"/>
    <x v="1"/>
    <n v="13594"/>
    <n v="13578"/>
    <n v="279"/>
    <x v="799"/>
    <s v="0777720939"/>
  </r>
  <r>
    <s v="190013130"/>
    <s v="Real Auto Care"/>
    <x v="2"/>
    <x v="2"/>
    <s v="4227277017"/>
    <d v="2024-04-04T00:00:00"/>
    <n v="4"/>
    <x v="1"/>
    <n v="19618"/>
    <n v="1528"/>
    <n v="229"/>
    <x v="800"/>
    <s v="0777720939"/>
  </r>
  <r>
    <s v="190013130"/>
    <s v="Real Auto Care"/>
    <x v="2"/>
    <x v="2"/>
    <s v="4227290049"/>
    <d v="2024-07-31T00:00:00"/>
    <n v="7"/>
    <x v="1"/>
    <n v="271400"/>
    <n v="240000"/>
    <n v="111"/>
    <x v="801"/>
    <s v="0777720939"/>
  </r>
  <r>
    <s v="190013130"/>
    <s v="Real Auto Care"/>
    <x v="2"/>
    <x v="2"/>
    <s v="4227295020"/>
    <d v="2024-08-31T00:00:00"/>
    <n v="8"/>
    <x v="1"/>
    <n v="53218"/>
    <n v="53218"/>
    <n v="80"/>
    <x v="3"/>
    <s v="0777720939"/>
  </r>
  <r>
    <s v="190013130"/>
    <s v="Real Auto Care"/>
    <x v="2"/>
    <x v="2"/>
    <s v="4227298485"/>
    <d v="2024-09-30T00:00:00"/>
    <n v="9"/>
    <x v="1"/>
    <n v="79347"/>
    <n v="79347"/>
    <n v="50"/>
    <x v="3"/>
    <s v="0777720939"/>
  </r>
  <r>
    <s v="190013130"/>
    <s v="Real Auto Care"/>
    <x v="2"/>
    <x v="2"/>
    <s v="4227298486"/>
    <d v="2024-09-30T00:00:00"/>
    <n v="9"/>
    <x v="1"/>
    <n v="30149"/>
    <n v="30149"/>
    <n v="50"/>
    <x v="3"/>
    <s v="0777720939"/>
  </r>
  <r>
    <s v="190013130"/>
    <s v="Real Auto Care"/>
    <x v="2"/>
    <x v="2"/>
    <s v="4227298487"/>
    <d v="2024-09-30T00:00:00"/>
    <n v="9"/>
    <x v="1"/>
    <n v="13747"/>
    <n v="13747"/>
    <n v="50"/>
    <x v="3"/>
    <s v="0777720939"/>
  </r>
  <r>
    <s v="190013130"/>
    <s v="Real Auto Care"/>
    <x v="2"/>
    <x v="2"/>
    <s v="4227300039"/>
    <d v="2024-10-10T00:00:00"/>
    <n v="10"/>
    <x v="1"/>
    <n v="354"/>
    <n v="354"/>
    <n v="40"/>
    <x v="3"/>
    <s v="0777720939"/>
  </r>
  <r>
    <s v="190013161"/>
    <s v="Car Zone &amp; Quick Fit"/>
    <x v="2"/>
    <x v="2"/>
    <s v="4227284753"/>
    <d v="2024-06-25T00:00:00"/>
    <n v="6"/>
    <x v="1"/>
    <n v="27527"/>
    <n v="920"/>
    <n v="147"/>
    <x v="802"/>
    <s v="0766142170"/>
  </r>
  <r>
    <s v="190013161"/>
    <s v="Car Zone &amp; Quick Fit"/>
    <x v="2"/>
    <x v="2"/>
    <s v="4227301864"/>
    <d v="2024-10-23T00:00:00"/>
    <n v="10"/>
    <x v="1"/>
    <n v="609"/>
    <n v="609"/>
    <n v="27"/>
    <x v="3"/>
    <s v="0766142170"/>
  </r>
  <r>
    <s v="190013161"/>
    <s v="Car Zone &amp; Quick Fit"/>
    <x v="2"/>
    <x v="2"/>
    <s v="4227301895"/>
    <d v="2024-10-23T00:00:00"/>
    <n v="10"/>
    <x v="1"/>
    <n v="14285"/>
    <n v="14285"/>
    <n v="27"/>
    <x v="3"/>
    <s v="0766142170"/>
  </r>
  <r>
    <s v="190013161"/>
    <s v="Car Zone &amp; Quick Fit"/>
    <x v="2"/>
    <x v="2"/>
    <s v="4227301896"/>
    <d v="2024-10-23T00:00:00"/>
    <n v="10"/>
    <x v="1"/>
    <n v="21476"/>
    <n v="21476"/>
    <n v="27"/>
    <x v="3"/>
    <s v="0766142170"/>
  </r>
  <r>
    <s v="190013161"/>
    <s v="Car Zone &amp; Quick Fit"/>
    <x v="2"/>
    <x v="2"/>
    <s v="4227303525"/>
    <d v="2024-10-31T00:00:00"/>
    <n v="10"/>
    <x v="1"/>
    <n v="113280"/>
    <n v="113280"/>
    <n v="19"/>
    <x v="3"/>
    <s v="0766142170"/>
  </r>
  <r>
    <s v="190013161"/>
    <s v="Car Zone &amp; Quick Fit"/>
    <x v="2"/>
    <x v="2"/>
    <s v="4227304473"/>
    <d v="2024-10-31T00:00:00"/>
    <n v="10"/>
    <x v="1"/>
    <n v="99545"/>
    <n v="99545"/>
    <n v="19"/>
    <x v="3"/>
    <s v="0766142170"/>
  </r>
  <r>
    <s v="190013248"/>
    <s v="Sunray Motors"/>
    <x v="2"/>
    <x v="2"/>
    <s v="4227226738"/>
    <d v="2022-11-29T00:00:00"/>
    <n v="11"/>
    <x v="6"/>
    <n v="8625"/>
    <n v="8625"/>
    <n v="721"/>
    <x v="52"/>
    <s v="0712284384"/>
  </r>
  <r>
    <s v="190013248"/>
    <s v="Sunray Motors"/>
    <x v="2"/>
    <x v="2"/>
    <s v="5227015459"/>
    <d v="2024-08-15T00:00:00"/>
    <n v="8"/>
    <x v="1"/>
    <n v="-6989"/>
    <n v="-6989"/>
    <n v="96"/>
    <x v="803"/>
    <s v="0712284384"/>
  </r>
  <r>
    <s v="190013318"/>
    <s v="M L Motors"/>
    <x v="2"/>
    <x v="2"/>
    <s v="4227268290"/>
    <d v="2024-01-19T00:00:00"/>
    <n v="1"/>
    <x v="1"/>
    <n v="12036"/>
    <n v="5036"/>
    <n v="305"/>
    <x v="804"/>
    <s v="0718419937"/>
  </r>
  <r>
    <s v="190013320"/>
    <s v="Auto Lanka Motors"/>
    <x v="2"/>
    <x v="2"/>
    <s v="4227276783"/>
    <d v="2024-03-28T00:00:00"/>
    <n v="3"/>
    <x v="1"/>
    <n v="96760"/>
    <n v="96760"/>
    <n v="236"/>
    <x v="739"/>
    <s v="0112444893"/>
  </r>
  <r>
    <s v="190013320"/>
    <s v="Auto Lanka Motors"/>
    <x v="2"/>
    <x v="2"/>
    <s v="5227015937"/>
    <d v="2024-11-12T00:00:00"/>
    <n v="11"/>
    <x v="1"/>
    <n v="-96760"/>
    <n v="-96760"/>
    <n v="7"/>
    <x v="3"/>
    <s v="0112444893"/>
  </r>
  <r>
    <s v="190013389"/>
    <s v="A One Auto Care (Pvt) Ltd,"/>
    <x v="2"/>
    <x v="2"/>
    <s v="4227284777"/>
    <d v="2024-06-25T00:00:00"/>
    <n v="6"/>
    <x v="1"/>
    <n v="81715"/>
    <n v="9622"/>
    <n v="147"/>
    <x v="805"/>
    <s v="0775642477"/>
  </r>
  <r>
    <s v="190013389"/>
    <s v="A One Auto Care (Pvt) Ltd,"/>
    <x v="2"/>
    <x v="2"/>
    <s v="4227290201"/>
    <d v="2024-07-31T00:00:00"/>
    <n v="7"/>
    <x v="1"/>
    <n v="10089"/>
    <n v="10089"/>
    <n v="111"/>
    <x v="806"/>
    <s v="0775642477"/>
  </r>
  <r>
    <s v="190013389"/>
    <s v="A One Auto Care (Pvt) Ltd,"/>
    <x v="2"/>
    <x v="2"/>
    <s v="4227290202"/>
    <d v="2024-07-31T00:00:00"/>
    <n v="7"/>
    <x v="1"/>
    <n v="10443"/>
    <n v="10443"/>
    <n v="111"/>
    <x v="807"/>
    <s v="0775642477"/>
  </r>
  <r>
    <s v="190013389"/>
    <s v="A One Auto Care (Pvt) Ltd,"/>
    <x v="2"/>
    <x v="2"/>
    <s v="4227290203"/>
    <d v="2024-07-31T00:00:00"/>
    <n v="7"/>
    <x v="1"/>
    <n v="31329"/>
    <n v="31329"/>
    <n v="111"/>
    <x v="808"/>
    <s v="0775642477"/>
  </r>
  <r>
    <s v="190013389"/>
    <s v="A One Auto Care (Pvt) Ltd,"/>
    <x v="2"/>
    <x v="2"/>
    <s v="4227291848"/>
    <d v="2024-08-13T00:00:00"/>
    <n v="8"/>
    <x v="1"/>
    <n v="18999"/>
    <n v="18999"/>
    <n v="98"/>
    <x v="809"/>
    <s v="0775642477"/>
  </r>
  <r>
    <s v="190013389"/>
    <s v="A One Auto Care (Pvt) Ltd,"/>
    <x v="2"/>
    <x v="2"/>
    <s v="4227297289"/>
    <d v="2024-09-20T00:00:00"/>
    <n v="9"/>
    <x v="1"/>
    <n v="65490"/>
    <n v="65490"/>
    <n v="60"/>
    <x v="3"/>
    <s v="0775642477"/>
  </r>
  <r>
    <s v="190013389"/>
    <s v="A One Auto Care (Pvt) Ltd,"/>
    <x v="2"/>
    <x v="2"/>
    <s v="4227297290"/>
    <d v="2024-09-20T00:00:00"/>
    <n v="9"/>
    <x v="1"/>
    <n v="50034"/>
    <n v="50034"/>
    <n v="60"/>
    <x v="3"/>
    <s v="0775642477"/>
  </r>
  <r>
    <s v="190013389"/>
    <s v="A One Auto Care (Pvt) Ltd,"/>
    <x v="2"/>
    <x v="2"/>
    <s v="4227297774"/>
    <d v="2024-09-26T00:00:00"/>
    <n v="9"/>
    <x v="1"/>
    <n v="39294"/>
    <n v="39294"/>
    <n v="54"/>
    <x v="3"/>
    <s v="0775642477"/>
  </r>
  <r>
    <s v="190013389"/>
    <s v="A One Auto Care (Pvt) Ltd,"/>
    <x v="2"/>
    <x v="2"/>
    <s v="4227298983"/>
    <d v="2024-09-30T00:00:00"/>
    <n v="9"/>
    <x v="1"/>
    <n v="177000"/>
    <n v="177000"/>
    <n v="50"/>
    <x v="3"/>
    <s v="0775642477"/>
  </r>
  <r>
    <s v="190013389"/>
    <s v="A One Auto Care (Pvt) Ltd,"/>
    <x v="2"/>
    <x v="2"/>
    <s v="4227301799"/>
    <d v="2024-10-22T00:00:00"/>
    <n v="10"/>
    <x v="1"/>
    <n v="18125"/>
    <n v="18125"/>
    <n v="28"/>
    <x v="3"/>
    <s v="0775642477"/>
  </r>
  <r>
    <s v="190013389"/>
    <s v="A One Auto Care (Pvt) Ltd,"/>
    <x v="2"/>
    <x v="2"/>
    <s v="4227303175"/>
    <d v="2024-10-30T00:00:00"/>
    <n v="10"/>
    <x v="1"/>
    <n v="106200"/>
    <n v="106200"/>
    <n v="20"/>
    <x v="3"/>
    <s v="0775642477"/>
  </r>
  <r>
    <s v="190013389"/>
    <s v="A One Auto Care (Pvt) Ltd,"/>
    <x v="2"/>
    <x v="2"/>
    <s v="4227303176"/>
    <d v="2024-10-30T00:00:00"/>
    <n v="10"/>
    <x v="1"/>
    <n v="28320"/>
    <n v="28320"/>
    <n v="20"/>
    <x v="3"/>
    <s v="0775642477"/>
  </r>
  <r>
    <s v="190013401"/>
    <s v="Avinda Enterprises"/>
    <x v="2"/>
    <x v="2"/>
    <s v="4227294937"/>
    <d v="2024-08-31T00:00:00"/>
    <n v="8"/>
    <x v="1"/>
    <n v="179832"/>
    <n v="179832"/>
    <n v="80"/>
    <x v="3"/>
    <s v="0777732461"/>
  </r>
  <r>
    <s v="190013401"/>
    <s v="Avinda Enterprises"/>
    <x v="2"/>
    <x v="2"/>
    <s v="4227297988"/>
    <d v="2024-09-27T00:00:00"/>
    <n v="9"/>
    <x v="1"/>
    <n v="31860"/>
    <n v="31860"/>
    <n v="53"/>
    <x v="3"/>
    <s v="0777732461"/>
  </r>
  <r>
    <s v="190013401"/>
    <s v="Avinda Enterprises"/>
    <x v="2"/>
    <x v="2"/>
    <s v="4227298024"/>
    <d v="2024-09-27T00:00:00"/>
    <n v="9"/>
    <x v="1"/>
    <n v="41796"/>
    <n v="41796"/>
    <n v="53"/>
    <x v="3"/>
    <s v="0777732461"/>
  </r>
  <r>
    <s v="190013401"/>
    <s v="Avinda Enterprises"/>
    <x v="2"/>
    <x v="2"/>
    <s v="4227300441"/>
    <d v="2024-10-12T00:00:00"/>
    <n v="10"/>
    <x v="1"/>
    <n v="58410"/>
    <n v="58410"/>
    <n v="38"/>
    <x v="3"/>
    <s v="0777732461"/>
  </r>
  <r>
    <s v="190013401"/>
    <s v="Avinda Enterprises"/>
    <x v="2"/>
    <x v="2"/>
    <s v="4227301904"/>
    <d v="2024-10-23T00:00:00"/>
    <n v="10"/>
    <x v="1"/>
    <n v="28178"/>
    <n v="28178"/>
    <n v="27"/>
    <x v="3"/>
    <s v="0777732461"/>
  </r>
  <r>
    <s v="190013401"/>
    <s v="Avinda Enterprises"/>
    <x v="2"/>
    <x v="2"/>
    <s v="4227303700"/>
    <d v="2024-10-31T00:00:00"/>
    <n v="10"/>
    <x v="1"/>
    <n v="15635"/>
    <n v="15635"/>
    <n v="19"/>
    <x v="3"/>
    <s v="0777732461"/>
  </r>
  <r>
    <s v="190013401"/>
    <s v="Avinda Enterprises"/>
    <x v="2"/>
    <x v="2"/>
    <s v="4227303701"/>
    <d v="2024-10-31T00:00:00"/>
    <n v="10"/>
    <x v="1"/>
    <n v="31152"/>
    <n v="31152"/>
    <n v="19"/>
    <x v="3"/>
    <s v="0777732461"/>
  </r>
  <r>
    <s v="190013401"/>
    <s v="Avinda Enterprises"/>
    <x v="2"/>
    <x v="2"/>
    <s v="4227303702"/>
    <d v="2024-10-31T00:00:00"/>
    <n v="10"/>
    <x v="1"/>
    <n v="7599"/>
    <n v="7599"/>
    <n v="19"/>
    <x v="3"/>
    <s v="0777732461"/>
  </r>
  <r>
    <s v="190013401"/>
    <s v="Avinda Enterprises"/>
    <x v="2"/>
    <x v="2"/>
    <s v="4227303703"/>
    <d v="2024-10-31T00:00:00"/>
    <n v="10"/>
    <x v="1"/>
    <n v="28320"/>
    <n v="28320"/>
    <n v="19"/>
    <x v="3"/>
    <s v="0777732461"/>
  </r>
  <r>
    <s v="190013473"/>
    <s v="Terance Auto Service"/>
    <x v="2"/>
    <x v="2"/>
    <s v="4227297552"/>
    <d v="2024-09-25T00:00:00"/>
    <n v="9"/>
    <x v="1"/>
    <n v="4366"/>
    <n v="4366"/>
    <n v="55"/>
    <x v="3"/>
    <s v="0755338821"/>
  </r>
  <r>
    <s v="190013473"/>
    <s v="Terance Auto Service"/>
    <x v="2"/>
    <x v="2"/>
    <s v="4227301638"/>
    <d v="2024-10-22T00:00:00"/>
    <n v="10"/>
    <x v="1"/>
    <n v="14868"/>
    <n v="14868"/>
    <n v="28"/>
    <x v="3"/>
    <s v="0755338821"/>
  </r>
  <r>
    <s v="190013504"/>
    <s v="Kantrans Equipment &amp; Logistics Pvt"/>
    <x v="2"/>
    <x v="2"/>
    <s v="4227299933"/>
    <d v="2024-10-09T00:00:00"/>
    <n v="10"/>
    <x v="1"/>
    <n v="16579"/>
    <n v="16579"/>
    <n v="41"/>
    <x v="3"/>
    <s v="0112434171"/>
  </r>
  <r>
    <s v="190013511"/>
    <s v="City Gas Centre"/>
    <x v="2"/>
    <x v="2"/>
    <s v="229923 / 133097"/>
    <d v="2024-08-16T00:00:00"/>
    <n v="8"/>
    <x v="1"/>
    <n v="-40285"/>
    <n v="-40285"/>
    <n v="95"/>
    <x v="810"/>
    <s v="0774740046"/>
  </r>
  <r>
    <s v="190013511"/>
    <s v="City Gas Centre"/>
    <x v="2"/>
    <x v="2"/>
    <s v="4227291012"/>
    <d v="2024-08-05T00:00:00"/>
    <n v="8"/>
    <x v="1"/>
    <n v="16815"/>
    <n v="11343"/>
    <n v="106"/>
    <x v="811"/>
    <s v="0774740046"/>
  </r>
  <r>
    <s v="190013511"/>
    <s v="City Gas Centre"/>
    <x v="2"/>
    <x v="2"/>
    <s v="4227291244"/>
    <d v="2024-08-07T00:00:00"/>
    <n v="8"/>
    <x v="1"/>
    <n v="607"/>
    <n v="607"/>
    <n v="104"/>
    <x v="812"/>
    <s v="0774740046"/>
  </r>
  <r>
    <s v="190013511"/>
    <s v="City Gas Centre"/>
    <x v="2"/>
    <x v="2"/>
    <s v="4227291453"/>
    <d v="2024-08-09T00:00:00"/>
    <n v="8"/>
    <x v="1"/>
    <n v="25505"/>
    <n v="25505"/>
    <n v="102"/>
    <x v="813"/>
    <s v="0774740046"/>
  </r>
  <r>
    <s v="190013511"/>
    <s v="City Gas Centre"/>
    <x v="2"/>
    <x v="2"/>
    <s v="4227296938"/>
    <d v="2024-09-20T00:00:00"/>
    <n v="9"/>
    <x v="1"/>
    <n v="540"/>
    <n v="540"/>
    <n v="60"/>
    <x v="3"/>
    <s v="0774740046"/>
  </r>
  <r>
    <s v="190013511"/>
    <s v="City Gas Centre"/>
    <x v="2"/>
    <x v="2"/>
    <s v="4227297448"/>
    <d v="2024-09-24T00:00:00"/>
    <n v="9"/>
    <x v="1"/>
    <n v="550"/>
    <n v="550"/>
    <n v="56"/>
    <x v="3"/>
    <s v="0774740046"/>
  </r>
  <r>
    <s v="190013511"/>
    <s v="City Gas Centre"/>
    <x v="2"/>
    <x v="2"/>
    <s v="4227297904"/>
    <d v="2024-09-26T00:00:00"/>
    <n v="9"/>
    <x v="1"/>
    <n v="559"/>
    <n v="559"/>
    <n v="54"/>
    <x v="3"/>
    <s v="0774740046"/>
  </r>
  <r>
    <s v="190013511"/>
    <s v="City Gas Centre"/>
    <x v="2"/>
    <x v="2"/>
    <s v="4227301815"/>
    <d v="2024-10-23T00:00:00"/>
    <n v="10"/>
    <x v="1"/>
    <n v="56640"/>
    <n v="56640"/>
    <n v="27"/>
    <x v="3"/>
    <s v="0774740046"/>
  </r>
  <r>
    <s v="190013511"/>
    <s v="City Gas Centre"/>
    <x v="2"/>
    <x v="2"/>
    <s v="4227301865"/>
    <d v="2024-10-23T00:00:00"/>
    <n v="10"/>
    <x v="1"/>
    <n v="1948"/>
    <n v="1948"/>
    <n v="27"/>
    <x v="3"/>
    <s v="0774740046"/>
  </r>
  <r>
    <s v="190013511"/>
    <s v="City Gas Centre"/>
    <x v="2"/>
    <x v="2"/>
    <s v="4227304112"/>
    <d v="2024-10-31T00:00:00"/>
    <n v="10"/>
    <x v="1"/>
    <n v="78470"/>
    <n v="78470"/>
    <n v="19"/>
    <x v="3"/>
    <s v="0774740046"/>
  </r>
  <r>
    <s v="190013611"/>
    <s v="Royal Services"/>
    <x v="2"/>
    <x v="2"/>
    <s v="238090"/>
    <d v="2024-10-30T00:00:00"/>
    <n v="10"/>
    <x v="1"/>
    <n v="-6999"/>
    <n v="-6999"/>
    <n v="20"/>
    <x v="3"/>
    <s v="0753928280"/>
  </r>
  <r>
    <s v="190013611"/>
    <s v="Royal Services"/>
    <x v="2"/>
    <x v="2"/>
    <s v="4227294913"/>
    <d v="2024-08-31T00:00:00"/>
    <n v="8"/>
    <x v="1"/>
    <n v="60794"/>
    <n v="60794"/>
    <n v="80"/>
    <x v="3"/>
    <s v="0753928280"/>
  </r>
  <r>
    <s v="190013611"/>
    <s v="Royal Services"/>
    <x v="2"/>
    <x v="2"/>
    <s v="4227296183"/>
    <d v="2024-09-12T00:00:00"/>
    <n v="9"/>
    <x v="1"/>
    <n v="6797"/>
    <n v="6797"/>
    <n v="68"/>
    <x v="3"/>
    <s v="0753928280"/>
  </r>
  <r>
    <s v="190013683"/>
    <s v="SZ Oil Mart"/>
    <x v="2"/>
    <x v="2"/>
    <s v="238091"/>
    <d v="2024-10-30T00:00:00"/>
    <n v="10"/>
    <x v="1"/>
    <n v="-7"/>
    <n v="-7"/>
    <n v="20"/>
    <x v="3"/>
    <s v="0771856759"/>
  </r>
  <r>
    <s v="190013737"/>
    <s v="D D D Oil Centre"/>
    <x v="2"/>
    <x v="2"/>
    <s v="4227253321"/>
    <d v="2023-09-06T00:00:00"/>
    <n v="9"/>
    <x v="0"/>
    <n v="11086"/>
    <n v="147"/>
    <n v="440"/>
    <x v="814"/>
    <s v="0778705670"/>
  </r>
  <r>
    <s v="190013737"/>
    <s v="D D D Oil Centre"/>
    <x v="2"/>
    <x v="2"/>
    <s v="4227289541"/>
    <d v="2024-07-29T00:00:00"/>
    <n v="7"/>
    <x v="1"/>
    <n v="27527"/>
    <n v="27527"/>
    <n v="113"/>
    <x v="516"/>
    <s v="0778705670"/>
  </r>
  <r>
    <s v="190013737"/>
    <s v="D D D Oil Centre"/>
    <x v="2"/>
    <x v="2"/>
    <s v="4227289542"/>
    <d v="2024-07-29T00:00:00"/>
    <n v="7"/>
    <x v="1"/>
    <n v="9062"/>
    <n v="9062"/>
    <n v="113"/>
    <x v="815"/>
    <s v="0778705670"/>
  </r>
  <r>
    <s v="190013737"/>
    <s v="D D D Oil Centre"/>
    <x v="2"/>
    <x v="2"/>
    <s v="4227298488"/>
    <d v="2024-09-30T00:00:00"/>
    <n v="9"/>
    <x v="1"/>
    <n v="51448"/>
    <n v="51448"/>
    <n v="50"/>
    <x v="3"/>
    <s v="0778705670"/>
  </r>
  <r>
    <s v="190013737"/>
    <s v="D D D Oil Centre"/>
    <x v="2"/>
    <x v="2"/>
    <s v="4227300284"/>
    <d v="2024-10-11T00:00:00"/>
    <n v="10"/>
    <x v="1"/>
    <n v="11800"/>
    <n v="11800"/>
    <n v="39"/>
    <x v="3"/>
    <s v="0778705670"/>
  </r>
  <r>
    <s v="190013802"/>
    <s v="Semiy  Trading Company"/>
    <x v="2"/>
    <x v="2"/>
    <s v="4227301998"/>
    <d v="2024-10-24T00:00:00"/>
    <n v="10"/>
    <x v="1"/>
    <n v="68796"/>
    <n v="68796"/>
    <n v="26"/>
    <x v="3"/>
    <s v="0112380044"/>
  </r>
  <r>
    <s v="190013845"/>
    <s v="Ranindra Motors,"/>
    <x v="2"/>
    <x v="2"/>
    <s v="233319"/>
    <d v="2024-08-31T00:00:00"/>
    <n v="8"/>
    <x v="1"/>
    <n v="-5581"/>
    <n v="-5581"/>
    <n v="80"/>
    <x v="3"/>
    <s v="0772713120"/>
  </r>
  <r>
    <s v="190013845"/>
    <s v="Ranindra Motors,"/>
    <x v="2"/>
    <x v="2"/>
    <s v="4227296074"/>
    <d v="2024-09-11T00:00:00"/>
    <n v="9"/>
    <x v="1"/>
    <n v="9062"/>
    <n v="9062"/>
    <n v="69"/>
    <x v="3"/>
    <s v="0772713120"/>
  </r>
  <r>
    <s v="190013924"/>
    <s v="Perfect Automobile"/>
    <x v="2"/>
    <x v="2"/>
    <s v="4227273457"/>
    <d v="2024-03-04T00:00:00"/>
    <n v="3"/>
    <x v="1"/>
    <n v="118000"/>
    <n v="48000"/>
    <n v="260"/>
    <x v="816"/>
    <s v="0761003363"/>
  </r>
  <r>
    <s v="190013932"/>
    <s v="City Oil Mart &amp; Gas Centre"/>
    <x v="2"/>
    <x v="2"/>
    <s v="4227280922"/>
    <d v="2024-05-17T00:00:00"/>
    <n v="5"/>
    <x v="1"/>
    <n v="40285"/>
    <n v="40285"/>
    <n v="186"/>
    <x v="817"/>
    <s v="0778342628"/>
  </r>
  <r>
    <s v="190014160"/>
    <s v="Carfix (Pvt) Ltd"/>
    <x v="2"/>
    <x v="2"/>
    <s v="228448"/>
    <d v="2024-07-15T00:00:00"/>
    <n v="7"/>
    <x v="1"/>
    <n v="-198"/>
    <n v="-198"/>
    <n v="127"/>
    <x v="818"/>
    <s v="0760591111"/>
  </r>
  <r>
    <s v="190014160"/>
    <s v="Carfix (Pvt) Ltd"/>
    <x v="2"/>
    <x v="2"/>
    <s v="4227287235"/>
    <d v="2024-07-13T00:00:00"/>
    <n v="7"/>
    <x v="1"/>
    <n v="10142"/>
    <n v="2440"/>
    <n v="129"/>
    <x v="819"/>
    <s v="0760591111"/>
  </r>
  <r>
    <s v="190014160"/>
    <s v="Carfix (Pvt) Ltd"/>
    <x v="2"/>
    <x v="2"/>
    <s v="4227287323"/>
    <d v="2024-07-15T00:00:00"/>
    <n v="7"/>
    <x v="1"/>
    <n v="36167"/>
    <n v="12167"/>
    <n v="127"/>
    <x v="820"/>
    <s v="0760591111"/>
  </r>
  <r>
    <s v="190014160"/>
    <s v="Carfix (Pvt) Ltd"/>
    <x v="2"/>
    <x v="2"/>
    <s v="4227287762"/>
    <d v="2024-07-17T00:00:00"/>
    <n v="7"/>
    <x v="1"/>
    <n v="5664"/>
    <n v="5664"/>
    <n v="125"/>
    <x v="821"/>
    <s v="0760591111"/>
  </r>
  <r>
    <s v="190014160"/>
    <s v="Carfix (Pvt) Ltd"/>
    <x v="2"/>
    <x v="2"/>
    <s v="4227289997"/>
    <d v="2024-07-31T00:00:00"/>
    <n v="7"/>
    <x v="1"/>
    <n v="150101"/>
    <n v="150101"/>
    <n v="111"/>
    <x v="822"/>
    <s v="0760591111"/>
  </r>
  <r>
    <s v="190014209"/>
    <s v="S K Motor Supply"/>
    <x v="2"/>
    <x v="2"/>
    <s v="4227286063"/>
    <d v="2024-06-30T00:00:00"/>
    <n v="6"/>
    <x v="1"/>
    <n v="33984"/>
    <n v="33984"/>
    <n v="142"/>
    <x v="314"/>
    <s v="0777888016"/>
  </r>
  <r>
    <s v="190014216"/>
    <s v="105 Auto Air Conditioning,"/>
    <x v="2"/>
    <x v="2"/>
    <s v="4227300810"/>
    <d v="2024-10-15T00:00:00"/>
    <n v="10"/>
    <x v="1"/>
    <n v="4956"/>
    <n v="4956"/>
    <n v="35"/>
    <x v="3"/>
    <s v="0717660503"/>
  </r>
  <r>
    <s v="190014279"/>
    <s v="New Hemalee Motor Company (Pvt) Ltd"/>
    <x v="2"/>
    <x v="2"/>
    <s v="235806"/>
    <d v="2024-09-25T00:00:00"/>
    <n v="9"/>
    <x v="1"/>
    <n v="-6"/>
    <n v="-6"/>
    <n v="55"/>
    <x v="3"/>
    <s v="0723374985"/>
  </r>
  <r>
    <s v="190014279"/>
    <s v="New Hemalee Motor Company (Pvt) Ltd"/>
    <x v="2"/>
    <x v="2"/>
    <s v="4227297663"/>
    <d v="2024-09-26T00:00:00"/>
    <n v="9"/>
    <x v="1"/>
    <n v="25783"/>
    <n v="25783"/>
    <n v="54"/>
    <x v="3"/>
    <s v="0723374985"/>
  </r>
  <r>
    <s v="190014279"/>
    <s v="New Hemalee Motor Company (Pvt) Ltd"/>
    <x v="2"/>
    <x v="2"/>
    <s v="4227304804"/>
    <d v="2024-11-05T00:00:00"/>
    <n v="11"/>
    <x v="1"/>
    <n v="6018"/>
    <n v="6018"/>
    <n v="14"/>
    <x v="3"/>
    <s v="0723374985"/>
  </r>
  <r>
    <s v="190014337"/>
    <s v="Gayani Motors"/>
    <x v="2"/>
    <x v="2"/>
    <s v="238068/000261"/>
    <d v="2024-10-21T00:00:00"/>
    <n v="10"/>
    <x v="1"/>
    <n v="-509"/>
    <n v="-509"/>
    <n v="29"/>
    <x v="3"/>
    <s v="0763771230"/>
  </r>
  <r>
    <s v="190014337"/>
    <s v="Gayani Motors"/>
    <x v="2"/>
    <x v="2"/>
    <s v="4227289632"/>
    <d v="2024-07-29T00:00:00"/>
    <n v="7"/>
    <x v="1"/>
    <n v="29429"/>
    <n v="29429"/>
    <n v="113"/>
    <x v="823"/>
    <s v="0763771230"/>
  </r>
  <r>
    <s v="190014337"/>
    <s v="Gayani Motors"/>
    <x v="2"/>
    <x v="2"/>
    <s v="4227289633"/>
    <d v="2024-07-29T00:00:00"/>
    <n v="7"/>
    <x v="1"/>
    <n v="30005"/>
    <n v="30005"/>
    <n v="113"/>
    <x v="640"/>
    <s v="0763771230"/>
  </r>
  <r>
    <s v="190014337"/>
    <s v="Gayani Motors"/>
    <x v="2"/>
    <x v="2"/>
    <s v="4227289634"/>
    <d v="2024-07-29T00:00:00"/>
    <n v="7"/>
    <x v="1"/>
    <n v="33984"/>
    <n v="33984"/>
    <n v="113"/>
    <x v="314"/>
    <s v="0763771230"/>
  </r>
  <r>
    <s v="190014337"/>
    <s v="Gayani Motors"/>
    <x v="2"/>
    <x v="2"/>
    <s v="4227295024"/>
    <d v="2024-08-31T00:00:00"/>
    <n v="8"/>
    <x v="1"/>
    <n v="67968"/>
    <n v="67968"/>
    <n v="80"/>
    <x v="3"/>
    <s v="0763771230"/>
  </r>
  <r>
    <s v="190014528"/>
    <s v="Mechboy (Pvt) Ltd"/>
    <x v="2"/>
    <x v="2"/>
    <s v="4227278281"/>
    <d v="2024-04-27T00:00:00"/>
    <n v="4"/>
    <x v="1"/>
    <n v="83296"/>
    <n v="36708.42"/>
    <n v="206"/>
    <x v="824"/>
    <s v="0766676333"/>
  </r>
  <r>
    <s v="190014528"/>
    <s v="Mechboy (Pvt) Ltd"/>
    <x v="2"/>
    <x v="2"/>
    <s v="4227278304"/>
    <d v="2024-04-27T00:00:00"/>
    <n v="4"/>
    <x v="1"/>
    <n v="14401"/>
    <n v="383"/>
    <n v="206"/>
    <x v="825"/>
    <s v="0766676333"/>
  </r>
  <r>
    <s v="190014528"/>
    <s v="Mechboy (Pvt) Ltd"/>
    <x v="2"/>
    <x v="2"/>
    <s v="4227282448"/>
    <d v="2024-05-31T00:00:00"/>
    <n v="5"/>
    <x v="1"/>
    <n v="94400"/>
    <n v="94400"/>
    <n v="172"/>
    <x v="685"/>
    <s v="0766676333"/>
  </r>
  <r>
    <s v="190014528"/>
    <s v="Mechboy (Pvt) Ltd"/>
    <x v="2"/>
    <x v="2"/>
    <s v="4227287843"/>
    <d v="2024-07-18T00:00:00"/>
    <n v="7"/>
    <x v="1"/>
    <n v="28320"/>
    <n v="28320"/>
    <n v="124"/>
    <x v="353"/>
    <s v="0766676333"/>
  </r>
  <r>
    <s v="190014528"/>
    <s v="Mechboy (Pvt) Ltd"/>
    <x v="2"/>
    <x v="2"/>
    <s v="4227288909"/>
    <d v="2024-07-24T00:00:00"/>
    <n v="7"/>
    <x v="1"/>
    <n v="5003"/>
    <n v="5003"/>
    <n v="118"/>
    <x v="826"/>
    <s v="0766676333"/>
  </r>
  <r>
    <s v="190014528"/>
    <s v="Mechboy (Pvt) Ltd"/>
    <x v="2"/>
    <x v="2"/>
    <s v="4227290038"/>
    <d v="2024-07-31T00:00:00"/>
    <n v="7"/>
    <x v="1"/>
    <n v="2832"/>
    <n v="2832"/>
    <n v="111"/>
    <x v="827"/>
    <s v="0766676333"/>
  </r>
  <r>
    <s v="190014528"/>
    <s v="Mechboy (Pvt) Ltd"/>
    <x v="2"/>
    <x v="2"/>
    <s v="4227291217"/>
    <d v="2024-08-07T00:00:00"/>
    <n v="8"/>
    <x v="1"/>
    <n v="3242"/>
    <n v="3242"/>
    <n v="104"/>
    <x v="828"/>
    <s v="0766676333"/>
  </r>
  <r>
    <s v="190014528"/>
    <s v="Mechboy (Pvt) Ltd"/>
    <x v="2"/>
    <x v="2"/>
    <s v="4227291301"/>
    <d v="2024-08-07T00:00:00"/>
    <n v="8"/>
    <x v="1"/>
    <n v="3721"/>
    <n v="3721"/>
    <n v="104"/>
    <x v="829"/>
    <s v="0766676333"/>
  </r>
  <r>
    <s v="190014528"/>
    <s v="Mechboy (Pvt) Ltd"/>
    <x v="2"/>
    <x v="2"/>
    <s v="4227291334"/>
    <d v="2024-08-07T00:00:00"/>
    <n v="8"/>
    <x v="1"/>
    <n v="23010"/>
    <n v="23010"/>
    <n v="104"/>
    <x v="830"/>
    <s v="0766676333"/>
  </r>
  <r>
    <s v="190014528"/>
    <s v="Mechboy (Pvt) Ltd"/>
    <x v="2"/>
    <x v="2"/>
    <s v="4227305795"/>
    <d v="2024-11-13T00:00:00"/>
    <n v="11"/>
    <x v="1"/>
    <n v="3540"/>
    <n v="3540"/>
    <n v="6"/>
    <x v="3"/>
    <s v="0766676333"/>
  </r>
  <r>
    <s v="190014544"/>
    <s v="Kantop 1977 (Pvt) Ltd"/>
    <x v="2"/>
    <x v="2"/>
    <s v="4227304404"/>
    <d v="2024-10-31T00:00:00"/>
    <n v="10"/>
    <x v="1"/>
    <n v="21240"/>
    <n v="21240"/>
    <n v="19"/>
    <x v="3"/>
    <s v="0773541546"/>
  </r>
  <r>
    <s v="190014544"/>
    <s v="Kantop 1977 (Pvt) Ltd"/>
    <x v="2"/>
    <x v="2"/>
    <s v="4227304405"/>
    <d v="2024-10-31T00:00:00"/>
    <n v="10"/>
    <x v="1"/>
    <n v="15576"/>
    <n v="15576"/>
    <n v="19"/>
    <x v="3"/>
    <s v="0773541546"/>
  </r>
  <r>
    <s v="190014569"/>
    <s v="Lasitha Automotives (Pvt) Ltd"/>
    <x v="2"/>
    <x v="2"/>
    <s v="226987 / 609018"/>
    <d v="2024-07-10T00:00:00"/>
    <n v="7"/>
    <x v="1"/>
    <n v="-3953"/>
    <n v="-3953"/>
    <n v="132"/>
    <x v="831"/>
    <s v="0777315067"/>
  </r>
  <r>
    <s v="190014569"/>
    <s v="Lasitha Automotives (Pvt) Ltd"/>
    <x v="2"/>
    <x v="2"/>
    <s v="4227295775"/>
    <d v="2024-09-09T00:00:00"/>
    <n v="9"/>
    <x v="1"/>
    <n v="7670"/>
    <n v="7670"/>
    <n v="71"/>
    <x v="3"/>
    <s v="0777315067"/>
  </r>
  <r>
    <s v="190014678"/>
    <s v="Casons Taxi Company (Pvt) Ltd"/>
    <x v="2"/>
    <x v="2"/>
    <s v="4227301008"/>
    <d v="2024-10-16T00:00:00"/>
    <n v="10"/>
    <x v="1"/>
    <n v="23553"/>
    <n v="23553"/>
    <n v="34"/>
    <x v="3"/>
    <s v="0112861111"/>
  </r>
  <r>
    <s v="190014767"/>
    <s v="One Shot Car Detailing"/>
    <x v="2"/>
    <x v="2"/>
    <s v="231250"/>
    <d v="2024-08-20T00:00:00"/>
    <n v="8"/>
    <x v="1"/>
    <n v="-103"/>
    <n v="-103"/>
    <n v="91"/>
    <x v="832"/>
    <s v="0762019958"/>
  </r>
  <r>
    <s v="190014767"/>
    <s v="One Shot Car Detailing"/>
    <x v="2"/>
    <x v="2"/>
    <s v="4227294115"/>
    <d v="2024-08-29T00:00:00"/>
    <n v="8"/>
    <x v="1"/>
    <n v="6726"/>
    <n v="6726"/>
    <n v="82"/>
    <x v="3"/>
    <s v="0762019958"/>
  </r>
  <r>
    <s v="190014767"/>
    <s v="One Shot Car Detailing"/>
    <x v="2"/>
    <x v="2"/>
    <s v="4227296190"/>
    <d v="2024-09-12T00:00:00"/>
    <n v="9"/>
    <x v="1"/>
    <n v="58735"/>
    <n v="58735"/>
    <n v="68"/>
    <x v="3"/>
    <s v="0762019958"/>
  </r>
  <r>
    <s v="190014826"/>
    <s v="Pinex Industrial Equipment"/>
    <x v="2"/>
    <x v="2"/>
    <s v="4227285785"/>
    <d v="2024-06-29T00:00:00"/>
    <n v="6"/>
    <x v="1"/>
    <n v="7973"/>
    <n v="7973"/>
    <n v="143"/>
    <x v="833"/>
    <s v="0770788364"/>
  </r>
  <r>
    <s v="190014907"/>
    <s v="Global Conversions (Pvt) Ltd"/>
    <x v="2"/>
    <x v="2"/>
    <s v="238075"/>
    <d v="2024-10-14T00:00:00"/>
    <n v="10"/>
    <x v="1"/>
    <n v="-30"/>
    <n v="-30"/>
    <n v="36"/>
    <x v="3"/>
    <s v="071777773"/>
  </r>
  <r>
    <s v="190014907"/>
    <s v="Global Conversions (Pvt) Ltd"/>
    <x v="2"/>
    <x v="2"/>
    <s v="4227302683"/>
    <d v="2024-10-28T00:00:00"/>
    <n v="10"/>
    <x v="1"/>
    <n v="17936"/>
    <n v="17936"/>
    <n v="22"/>
    <x v="3"/>
    <s v="071777773"/>
  </r>
  <r>
    <s v="190014907"/>
    <s v="Global Conversions (Pvt) Ltd"/>
    <x v="2"/>
    <x v="2"/>
    <s v="4227302684"/>
    <d v="2024-10-28T00:00:00"/>
    <n v="10"/>
    <x v="1"/>
    <n v="7080"/>
    <n v="7080"/>
    <n v="22"/>
    <x v="3"/>
    <s v="071777773"/>
  </r>
  <r>
    <s v="190014922"/>
    <s v="Ragu Motronic (Pvt) Ltd"/>
    <x v="2"/>
    <x v="2"/>
    <s v="4227292575"/>
    <d v="2024-08-20T00:00:00"/>
    <n v="8"/>
    <x v="1"/>
    <n v="16250"/>
    <n v="16250"/>
    <n v="91"/>
    <x v="834"/>
    <s v="0711010525"/>
  </r>
  <r>
    <s v="190014922"/>
    <s v="Ragu Motronic (Pvt) Ltd"/>
    <x v="2"/>
    <x v="2"/>
    <s v="4227295840"/>
    <d v="2024-09-09T00:00:00"/>
    <n v="9"/>
    <x v="1"/>
    <n v="2124"/>
    <n v="2124"/>
    <n v="71"/>
    <x v="3"/>
    <s v="0711010525"/>
  </r>
  <r>
    <s v="190014922"/>
    <s v="Ragu Motronic (Pvt) Ltd"/>
    <x v="2"/>
    <x v="2"/>
    <s v="4227299935"/>
    <d v="2024-10-09T00:00:00"/>
    <n v="10"/>
    <x v="1"/>
    <n v="31860"/>
    <n v="31860"/>
    <n v="41"/>
    <x v="3"/>
    <s v="0711010525"/>
  </r>
  <r>
    <s v="190014922"/>
    <s v="Ragu Motronic (Pvt) Ltd"/>
    <x v="2"/>
    <x v="2"/>
    <s v="4227300292"/>
    <d v="2024-10-11T00:00:00"/>
    <n v="10"/>
    <x v="1"/>
    <n v="47200"/>
    <n v="47200"/>
    <n v="39"/>
    <x v="3"/>
    <s v="0711010525"/>
  </r>
  <r>
    <s v="190014922"/>
    <s v="Ragu Motronic (Pvt) Ltd"/>
    <x v="2"/>
    <x v="2"/>
    <s v="4227300293"/>
    <d v="2024-10-11T00:00:00"/>
    <n v="10"/>
    <x v="1"/>
    <n v="104784"/>
    <n v="104784"/>
    <n v="39"/>
    <x v="3"/>
    <s v="0711010525"/>
  </r>
  <r>
    <s v="190014922"/>
    <s v="Ragu Motronic (Pvt) Ltd"/>
    <x v="2"/>
    <x v="2"/>
    <s v="4227304406"/>
    <d v="2024-10-31T00:00:00"/>
    <n v="10"/>
    <x v="1"/>
    <n v="28320"/>
    <n v="28320"/>
    <n v="19"/>
    <x v="3"/>
    <s v="0711010525"/>
  </r>
  <r>
    <s v="190014942"/>
    <s v="Hardy Auto Works (Pvt) Ltd"/>
    <x v="2"/>
    <x v="2"/>
    <s v="4227290495"/>
    <d v="2024-07-31T00:00:00"/>
    <n v="7"/>
    <x v="1"/>
    <n v="7611"/>
    <n v="7611"/>
    <n v="111"/>
    <x v="835"/>
    <s v="0112688073"/>
  </r>
  <r>
    <s v="190014988"/>
    <s v="Vinuja Motor Stores"/>
    <x v="2"/>
    <x v="2"/>
    <s v="4227296193"/>
    <d v="2024-09-12T00:00:00"/>
    <n v="9"/>
    <x v="1"/>
    <n v="38515"/>
    <n v="38515"/>
    <n v="68"/>
    <x v="3"/>
    <s v="0777172326"/>
  </r>
  <r>
    <s v="190015189"/>
    <s v="Garage - One (Pvt) Ltd"/>
    <x v="2"/>
    <x v="2"/>
    <s v="235849"/>
    <d v="2024-10-14T00:00:00"/>
    <n v="10"/>
    <x v="1"/>
    <n v="-10"/>
    <n v="-10"/>
    <n v="36"/>
    <x v="3"/>
    <s v="0779329375"/>
  </r>
  <r>
    <s v="190015189"/>
    <s v="Garage - One (Pvt) Ltd"/>
    <x v="2"/>
    <x v="2"/>
    <s v="4227297902"/>
    <d v="2024-09-26T00:00:00"/>
    <n v="9"/>
    <x v="1"/>
    <n v="26635"/>
    <n v="26635"/>
    <n v="54"/>
    <x v="3"/>
    <s v="0779329375"/>
  </r>
  <r>
    <s v="190015189"/>
    <s v="Garage - One (Pvt) Ltd"/>
    <x v="2"/>
    <x v="2"/>
    <s v="4227304113"/>
    <d v="2024-10-31T00:00:00"/>
    <n v="10"/>
    <x v="1"/>
    <n v="99545"/>
    <n v="99545"/>
    <n v="19"/>
    <x v="3"/>
    <s v="0779329375"/>
  </r>
  <r>
    <s v="190015471"/>
    <s v="A. S. J Oil Mart"/>
    <x v="2"/>
    <x v="2"/>
    <s v="4227299843"/>
    <d v="2024-10-09T00:00:00"/>
    <n v="10"/>
    <x v="1"/>
    <n v="17219"/>
    <n v="17219"/>
    <n v="41"/>
    <x v="3"/>
    <s v="0758832384"/>
  </r>
  <r>
    <s v="190015525"/>
    <s v="M. Senevirathne (Pvt) Ltd"/>
    <x v="2"/>
    <x v="2"/>
    <s v="4227301417"/>
    <d v="2024-10-21T00:00:00"/>
    <n v="10"/>
    <x v="1"/>
    <n v="89871"/>
    <n v="89871"/>
    <n v="29"/>
    <x v="3"/>
    <s v="0714908817"/>
  </r>
  <r>
    <s v="190015526"/>
    <s v="Sahini Auto Care (Pvt) Ltd"/>
    <x v="2"/>
    <x v="2"/>
    <s v="4227300571"/>
    <d v="2024-10-14T00:00:00"/>
    <n v="10"/>
    <x v="1"/>
    <n v="28632"/>
    <n v="28632"/>
    <n v="36"/>
    <x v="3"/>
    <s v="0771205670"/>
  </r>
  <r>
    <s v="190015566"/>
    <s v="S. K. T. Motors"/>
    <x v="2"/>
    <x v="2"/>
    <s v="4227300617"/>
    <d v="2024-10-14T00:00:00"/>
    <n v="10"/>
    <x v="1"/>
    <n v="6490"/>
    <n v="6490"/>
    <n v="36"/>
    <x v="3"/>
    <s v="0712109960"/>
  </r>
  <r>
    <s v="190015569"/>
    <s v="Sankalpa Motors (Pvt) Ltd"/>
    <x v="2"/>
    <x v="2"/>
    <s v="4227300616"/>
    <d v="2024-10-14T00:00:00"/>
    <n v="10"/>
    <x v="1"/>
    <n v="27527"/>
    <n v="27527"/>
    <n v="36"/>
    <x v="3"/>
    <s v="0701435596"/>
  </r>
  <r>
    <s v="190015717"/>
    <s v="Auto Glass And Accessories (Pvt) Lt"/>
    <x v="2"/>
    <x v="2"/>
    <s v="4227302464"/>
    <d v="2024-10-26T00:00:00"/>
    <n v="10"/>
    <x v="1"/>
    <n v="2006"/>
    <n v="2006"/>
    <n v="24"/>
    <x v="3"/>
    <s v="01125672818"/>
  </r>
  <r>
    <s v="190015719"/>
    <s v="Kavithna Enterprises"/>
    <x v="2"/>
    <x v="2"/>
    <s v="4227302679"/>
    <d v="2024-10-28T00:00:00"/>
    <n v="10"/>
    <x v="1"/>
    <n v="11936"/>
    <n v="11936"/>
    <n v="22"/>
    <x v="3"/>
    <s v="0772207272"/>
  </r>
  <r>
    <s v="190015721"/>
    <s v="C. T. Danuka Radiator"/>
    <x v="2"/>
    <x v="2"/>
    <s v="4227302180"/>
    <d v="2024-10-24T00:00:00"/>
    <n v="10"/>
    <x v="1"/>
    <n v="9062"/>
    <n v="9062"/>
    <n v="26"/>
    <x v="3"/>
    <s v="0775574535"/>
  </r>
  <r>
    <s v="190015751"/>
    <s v="Lanka Oil Mart"/>
    <x v="2"/>
    <x v="2"/>
    <s v="4227302678"/>
    <d v="2024-10-28T00:00:00"/>
    <n v="10"/>
    <x v="1"/>
    <n v="6797"/>
    <n v="6797"/>
    <n v="22"/>
    <x v="3"/>
    <s v="0772144776"/>
  </r>
  <r>
    <s v="190015769"/>
    <s v="Western Motor Stores"/>
    <x v="2"/>
    <x v="2"/>
    <s v="4227302835"/>
    <d v="2024-10-29T00:00:00"/>
    <n v="10"/>
    <x v="1"/>
    <n v="23971"/>
    <n v="23971"/>
    <n v="21"/>
    <x v="3"/>
    <s v="0775870459"/>
  </r>
  <r>
    <s v="190015837"/>
    <s v="Siri Motors (Pvt) Ltd"/>
    <x v="2"/>
    <x v="2"/>
    <s v="4227303773"/>
    <d v="2024-10-31T00:00:00"/>
    <n v="10"/>
    <x v="1"/>
    <n v="2266"/>
    <n v="2266"/>
    <n v="19"/>
    <x v="3"/>
    <s v="0112439458"/>
  </r>
  <r>
    <s v="190015837"/>
    <s v="Siri Motors (Pvt) Ltd"/>
    <x v="2"/>
    <x v="2"/>
    <s v="4227305926"/>
    <d v="2024-11-16T00:00:00"/>
    <n v="11"/>
    <x v="1"/>
    <n v="2266"/>
    <n v="2266"/>
    <n v="3"/>
    <x v="3"/>
    <s v="0112439458"/>
  </r>
  <r>
    <s v="190015842"/>
    <s v="M. R. Diesel Pump Service"/>
    <x v="2"/>
    <x v="2"/>
    <s v="4227304003"/>
    <d v="2024-10-31T00:00:00"/>
    <n v="10"/>
    <x v="1"/>
    <n v="60888"/>
    <n v="60888"/>
    <n v="19"/>
    <x v="3"/>
    <s v="0771003149"/>
  </r>
  <r>
    <s v="190015845"/>
    <s v="Modify Motors"/>
    <x v="2"/>
    <x v="2"/>
    <s v="4227303978"/>
    <d v="2024-10-31T00:00:00"/>
    <n v="10"/>
    <x v="1"/>
    <n v="8260"/>
    <n v="8260"/>
    <n v="19"/>
    <x v="3"/>
    <s v="0773817739"/>
  </r>
  <r>
    <s v="190015847"/>
    <s v="A. R. R. Automobile"/>
    <x v="2"/>
    <x v="2"/>
    <s v="4227304002"/>
    <d v="2024-10-31T00:00:00"/>
    <n v="10"/>
    <x v="1"/>
    <n v="5062"/>
    <n v="5062"/>
    <n v="19"/>
    <x v="3"/>
    <s v="0774436585"/>
  </r>
  <r>
    <s v="190015861"/>
    <s v="Nipon Motors"/>
    <x v="2"/>
    <x v="2"/>
    <s v="4227304000"/>
    <d v="2024-10-31T00:00:00"/>
    <n v="10"/>
    <x v="1"/>
    <n v="1500"/>
    <n v="1500"/>
    <n v="19"/>
    <x v="3"/>
    <s v="0112531775"/>
  </r>
  <r>
    <s v="190015898"/>
    <s v="Nihal Benz Automobile"/>
    <x v="2"/>
    <x v="2"/>
    <s v="4227304439"/>
    <d v="2024-10-31T00:00:00"/>
    <n v="10"/>
    <x v="1"/>
    <n v="27527"/>
    <n v="27527"/>
    <n v="19"/>
    <x v="3"/>
    <s v="0711222496"/>
  </r>
  <r>
    <s v="190000065"/>
    <s v="Sunil Motors &amp; Engineers"/>
    <x v="3"/>
    <x v="3"/>
    <s v="4227283366"/>
    <d v="2024-06-11T00:00:00"/>
    <n v="6"/>
    <x v="1"/>
    <n v="161353"/>
    <n v="161353"/>
    <n v="161"/>
    <x v="836"/>
    <s v="112951522"/>
  </r>
  <r>
    <s v="190000948"/>
    <s v="Saman Auto Electricals"/>
    <x v="3"/>
    <x v="3"/>
    <s v="4227157728"/>
    <d v="2020-11-25T00:00:00"/>
    <n v="11"/>
    <x v="3"/>
    <n v="10109"/>
    <n v="500"/>
    <n v="1455"/>
    <x v="41"/>
    <s v="0777202802"/>
  </r>
  <r>
    <s v="190000948"/>
    <s v="Saman Auto Electricals"/>
    <x v="3"/>
    <x v="3"/>
    <s v="4227281128"/>
    <d v="2024-05-20T00:00:00"/>
    <n v="5"/>
    <x v="1"/>
    <n v="47082"/>
    <n v="47082"/>
    <n v="183"/>
    <x v="837"/>
    <s v="0777202802"/>
  </r>
  <r>
    <s v="190001309"/>
    <s v="Gayan Motors"/>
    <x v="3"/>
    <x v="3"/>
    <s v="4227291460"/>
    <d v="2024-08-09T00:00:00"/>
    <n v="8"/>
    <x v="1"/>
    <n v="12272"/>
    <n v="0"/>
    <n v="102"/>
    <x v="345"/>
    <s v="0779780785"/>
  </r>
  <r>
    <s v="190001309"/>
    <s v="Gayan Motors"/>
    <x v="3"/>
    <x v="3"/>
    <s v="4227291958"/>
    <d v="2024-08-13T00:00:00"/>
    <n v="8"/>
    <x v="1"/>
    <n v="72428"/>
    <n v="45084"/>
    <n v="98"/>
    <x v="838"/>
    <s v="0779780785"/>
  </r>
  <r>
    <s v="190001309"/>
    <s v="Gayan Motors"/>
    <x v="3"/>
    <x v="3"/>
    <s v="4227297271"/>
    <d v="2024-09-20T00:00:00"/>
    <n v="9"/>
    <x v="1"/>
    <n v="99545"/>
    <n v="99545"/>
    <n v="60"/>
    <x v="3"/>
    <s v="0779780785"/>
  </r>
  <r>
    <s v="190001309"/>
    <s v="Gayan Motors"/>
    <x v="3"/>
    <x v="3"/>
    <s v="4227303085"/>
    <d v="2024-10-30T00:00:00"/>
    <n v="10"/>
    <x v="1"/>
    <n v="12390"/>
    <n v="12390"/>
    <n v="20"/>
    <x v="3"/>
    <s v="0779780785"/>
  </r>
  <r>
    <s v="190001425"/>
    <s v="Mallawaarachchi Auto Works"/>
    <x v="3"/>
    <x v="3"/>
    <s v="4227296913"/>
    <d v="2024-09-20T00:00:00"/>
    <n v="9"/>
    <x v="1"/>
    <n v="15576"/>
    <n v="15576"/>
    <n v="60"/>
    <x v="3"/>
    <s v="0777953276"/>
  </r>
  <r>
    <s v="190001427"/>
    <s v="Terrance Motors"/>
    <x v="3"/>
    <x v="3"/>
    <s v="4227180095"/>
    <d v="2021-07-07T00:00:00"/>
    <n v="7"/>
    <x v="4"/>
    <n v="30642"/>
    <n v="9800"/>
    <n v="1231"/>
    <x v="839"/>
    <s v="0776583437"/>
  </r>
  <r>
    <s v="190001427"/>
    <s v="Terrance Motors"/>
    <x v="3"/>
    <x v="3"/>
    <s v="4227185140"/>
    <d v="2021-09-03T00:00:00"/>
    <n v="9"/>
    <x v="4"/>
    <n v="292"/>
    <n v="292"/>
    <n v="1173"/>
    <x v="840"/>
    <s v="0776583437"/>
  </r>
  <r>
    <s v="190001427"/>
    <s v="Terrance Motors"/>
    <x v="3"/>
    <x v="3"/>
    <s v="4227277834"/>
    <d v="2024-04-22T00:00:00"/>
    <n v="4"/>
    <x v="1"/>
    <n v="22066"/>
    <n v="3366"/>
    <n v="211"/>
    <x v="841"/>
    <s v="0776583437"/>
  </r>
  <r>
    <s v="190001427"/>
    <s v="Terrance Motors"/>
    <x v="3"/>
    <x v="3"/>
    <s v="4227282811"/>
    <d v="2024-06-04T00:00:00"/>
    <n v="6"/>
    <x v="1"/>
    <n v="696200"/>
    <n v="255552"/>
    <n v="168"/>
    <x v="842"/>
    <s v="0776583437"/>
  </r>
  <r>
    <s v="190001427"/>
    <s v="Terrance Motors"/>
    <x v="3"/>
    <x v="3"/>
    <s v="4227297210"/>
    <d v="2024-09-20T00:00:00"/>
    <n v="9"/>
    <x v="1"/>
    <n v="51571"/>
    <n v="51571"/>
    <n v="60"/>
    <x v="3"/>
    <s v="0776583437"/>
  </r>
  <r>
    <s v="190001545"/>
    <s v="Ayodya Motors"/>
    <x v="3"/>
    <x v="3"/>
    <s v="216321"/>
    <d v="2024-01-24T00:00:00"/>
    <n v="1"/>
    <x v="1"/>
    <n v="-15000"/>
    <n v="-15000"/>
    <n v="300"/>
    <x v="843"/>
    <s v="332264880"/>
  </r>
  <r>
    <s v="190001545"/>
    <s v="Ayodya Motors"/>
    <x v="3"/>
    <x v="3"/>
    <s v="216322"/>
    <d v="2024-01-23T00:00:00"/>
    <n v="1"/>
    <x v="1"/>
    <n v="-16464"/>
    <n v="-16464"/>
    <n v="301"/>
    <x v="844"/>
    <s v="332264880"/>
  </r>
  <r>
    <s v="190001545"/>
    <s v="Ayodya Motors"/>
    <x v="3"/>
    <x v="3"/>
    <s v="4227170972"/>
    <d v="2021-03-19T00:00:00"/>
    <n v="3"/>
    <x v="4"/>
    <n v="40168"/>
    <n v="546"/>
    <n v="1341"/>
    <x v="845"/>
    <s v="332264880"/>
  </r>
  <r>
    <s v="190001545"/>
    <s v="Ayodya Motors"/>
    <x v="3"/>
    <x v="3"/>
    <s v="4227248325"/>
    <d v="2023-07-24T00:00:00"/>
    <n v="7"/>
    <x v="0"/>
    <n v="44712"/>
    <n v="44712"/>
    <n v="484"/>
    <x v="846"/>
    <s v="332264880"/>
  </r>
  <r>
    <s v="190001545"/>
    <s v="Ayodya Motors"/>
    <x v="3"/>
    <x v="3"/>
    <s v="4227253546"/>
    <d v="2023-09-08T00:00:00"/>
    <n v="9"/>
    <x v="0"/>
    <n v="82800"/>
    <n v="59322"/>
    <n v="438"/>
    <x v="847"/>
    <s v="332264880"/>
  </r>
  <r>
    <s v="190001545"/>
    <s v="Ayodya Motors"/>
    <x v="3"/>
    <x v="3"/>
    <s v="4227272212"/>
    <d v="2024-02-26T00:00:00"/>
    <n v="2"/>
    <x v="1"/>
    <n v="5546"/>
    <n v="5546"/>
    <n v="267"/>
    <x v="848"/>
    <s v="332264880"/>
  </r>
  <r>
    <s v="190001545"/>
    <s v="Ayodya Motors"/>
    <x v="3"/>
    <x v="3"/>
    <s v="4227282553"/>
    <d v="2024-05-31T00:00:00"/>
    <n v="5"/>
    <x v="1"/>
    <n v="31743"/>
    <n v="14248"/>
    <n v="172"/>
    <x v="849"/>
    <s v="332264880"/>
  </r>
  <r>
    <s v="190001545"/>
    <s v="Ayodya Motors"/>
    <x v="3"/>
    <x v="3"/>
    <s v="4227285252"/>
    <d v="2024-06-28T00:00:00"/>
    <n v="6"/>
    <x v="1"/>
    <n v="13594"/>
    <n v="13594"/>
    <n v="144"/>
    <x v="850"/>
    <s v="332264880"/>
  </r>
  <r>
    <s v="190001545"/>
    <s v="Ayodya Motors"/>
    <x v="3"/>
    <x v="3"/>
    <s v="4227285253"/>
    <d v="2024-06-28T00:00:00"/>
    <n v="6"/>
    <x v="1"/>
    <n v="100371"/>
    <n v="100371"/>
    <n v="144"/>
    <x v="851"/>
    <s v="332264880"/>
  </r>
  <r>
    <s v="190001545"/>
    <s v="Ayodya Motors"/>
    <x v="3"/>
    <x v="3"/>
    <s v="4227288320"/>
    <d v="2024-07-22T00:00:00"/>
    <n v="7"/>
    <x v="1"/>
    <n v="16992"/>
    <n v="16992"/>
    <n v="120"/>
    <x v="852"/>
    <s v="332264880"/>
  </r>
  <r>
    <s v="190001545"/>
    <s v="Ayodya Motors"/>
    <x v="3"/>
    <x v="3"/>
    <s v="4227289265"/>
    <d v="2024-07-26T00:00:00"/>
    <n v="7"/>
    <x v="1"/>
    <n v="47141"/>
    <n v="47141"/>
    <n v="116"/>
    <x v="853"/>
    <s v="332264880"/>
  </r>
  <r>
    <s v="190001548"/>
    <s v="I. T. J. International Trading"/>
    <x v="3"/>
    <x v="3"/>
    <s v="220350 / 145187"/>
    <d v="2024-05-10T00:00:00"/>
    <n v="5"/>
    <x v="1"/>
    <n v="-3811"/>
    <n v="-3811"/>
    <n v="193"/>
    <x v="854"/>
    <s v="0727999940"/>
  </r>
  <r>
    <s v="190001548"/>
    <s v="I. T. J. International Trading"/>
    <x v="3"/>
    <x v="3"/>
    <s v="4227189555"/>
    <d v="2021-10-23T00:00:00"/>
    <n v="10"/>
    <x v="4"/>
    <n v="31293"/>
    <n v="1951"/>
    <n v="1123"/>
    <x v="855"/>
    <s v="0727999940"/>
  </r>
  <r>
    <s v="190001548"/>
    <s v="I. T. J. International Trading"/>
    <x v="3"/>
    <x v="3"/>
    <s v="4227260494"/>
    <d v="2023-11-07T00:00:00"/>
    <n v="11"/>
    <x v="0"/>
    <n v="19120"/>
    <n v="19120"/>
    <n v="378"/>
    <x v="856"/>
    <s v="0727999940"/>
  </r>
  <r>
    <s v="190001548"/>
    <s v="I. T. J. International Trading"/>
    <x v="3"/>
    <x v="3"/>
    <s v="4227279542"/>
    <d v="2024-05-07T00:00:00"/>
    <n v="5"/>
    <x v="1"/>
    <n v="41212"/>
    <n v="41212"/>
    <n v="196"/>
    <x v="857"/>
    <s v="0727999940"/>
  </r>
  <r>
    <s v="190001549"/>
    <s v="Kavishan Motors"/>
    <x v="3"/>
    <x v="3"/>
    <s v="4227257005"/>
    <d v="2023-10-06T00:00:00"/>
    <n v="10"/>
    <x v="0"/>
    <n v="31625"/>
    <n v="1730.75"/>
    <n v="410"/>
    <x v="858"/>
    <s v="334929935"/>
  </r>
  <r>
    <s v="190001549"/>
    <s v="Kavishan Motors"/>
    <x v="3"/>
    <x v="3"/>
    <s v="4227290978"/>
    <d v="2024-08-05T00:00:00"/>
    <n v="8"/>
    <x v="1"/>
    <n v="24273"/>
    <n v="24273"/>
    <n v="106"/>
    <x v="859"/>
    <s v="334929935"/>
  </r>
  <r>
    <s v="190001552"/>
    <s v="Protech Automobiles"/>
    <x v="3"/>
    <x v="3"/>
    <s v="4227271430"/>
    <d v="2024-02-19T00:00:00"/>
    <n v="2"/>
    <x v="1"/>
    <n v="41772"/>
    <n v="41772"/>
    <n v="274"/>
    <x v="396"/>
    <s v="0773461182"/>
  </r>
  <r>
    <s v="190001552"/>
    <s v="Protech Automobiles"/>
    <x v="3"/>
    <x v="3"/>
    <s v="4227277970"/>
    <d v="2024-04-25T00:00:00"/>
    <n v="4"/>
    <x v="1"/>
    <n v="99799"/>
    <n v="99799"/>
    <n v="208"/>
    <x v="860"/>
    <s v="0773461182"/>
  </r>
  <r>
    <s v="190001553"/>
    <s v="Hemantha Motors"/>
    <x v="3"/>
    <x v="3"/>
    <s v="4227289642"/>
    <d v="2024-07-29T00:00:00"/>
    <n v="7"/>
    <x v="1"/>
    <n v="4000"/>
    <n v="4000"/>
    <n v="113"/>
    <x v="861"/>
    <s v="332255188"/>
  </r>
  <r>
    <s v="190001933"/>
    <s v="D. A. Auto Service Center"/>
    <x v="3"/>
    <x v="3"/>
    <s v=""/>
    <d v="2023-05-08T00:00:00"/>
    <n v="5"/>
    <x v="0"/>
    <n v="-1750"/>
    <n v="-1750"/>
    <n v="561"/>
    <x v="862"/>
    <s v="112927690"/>
  </r>
  <r>
    <s v="190001933"/>
    <s v="D. A. Auto Service Center"/>
    <x v="3"/>
    <x v="3"/>
    <s v=""/>
    <d v="2023-10-17T00:00:00"/>
    <n v="10"/>
    <x v="0"/>
    <n v="-150"/>
    <n v="-150"/>
    <n v="399"/>
    <x v="291"/>
    <s v="112927690"/>
  </r>
  <r>
    <s v="190001933"/>
    <s v="D. A. Auto Service Center"/>
    <x v="3"/>
    <x v="3"/>
    <s v="4227276176"/>
    <d v="2024-03-27T00:00:00"/>
    <n v="3"/>
    <x v="1"/>
    <n v="17464"/>
    <n v="17464"/>
    <n v="237"/>
    <x v="510"/>
    <s v="112927690"/>
  </r>
  <r>
    <s v="190001933"/>
    <s v="D. A. Auto Service Center"/>
    <x v="3"/>
    <x v="3"/>
    <s v="4227276448"/>
    <d v="2024-03-28T00:00:00"/>
    <n v="3"/>
    <x v="1"/>
    <n v="91450"/>
    <n v="91450"/>
    <n v="236"/>
    <x v="863"/>
    <s v="112927690"/>
  </r>
  <r>
    <s v="190001933"/>
    <s v="D. A. Auto Service Center"/>
    <x v="3"/>
    <x v="3"/>
    <s v="4227277846"/>
    <d v="2024-04-22T00:00:00"/>
    <n v="4"/>
    <x v="1"/>
    <n v="22066"/>
    <n v="22066"/>
    <n v="211"/>
    <x v="864"/>
    <s v="112927690"/>
  </r>
  <r>
    <s v="190001933"/>
    <s v="D. A. Auto Service Center"/>
    <x v="3"/>
    <x v="3"/>
    <s v="4227280727"/>
    <d v="2024-05-14T00:00:00"/>
    <n v="5"/>
    <x v="1"/>
    <n v="37996"/>
    <n v="37996"/>
    <n v="189"/>
    <x v="865"/>
    <s v="112927690"/>
  </r>
  <r>
    <s v="190001934"/>
    <s v="Devinda Motors"/>
    <x v="3"/>
    <x v="3"/>
    <s v="4227294023"/>
    <d v="2024-08-28T00:00:00"/>
    <n v="8"/>
    <x v="1"/>
    <n v="77880"/>
    <n v="77880"/>
    <n v="83"/>
    <x v="3"/>
    <s v="0718120893"/>
  </r>
  <r>
    <s v="190001934"/>
    <s v="Devinda Motors"/>
    <x v="3"/>
    <x v="3"/>
    <s v="4227294029"/>
    <d v="2024-08-28T00:00:00"/>
    <n v="8"/>
    <x v="1"/>
    <n v="82600"/>
    <n v="82600"/>
    <n v="83"/>
    <x v="3"/>
    <s v="0718120893"/>
  </r>
  <r>
    <s v="190001937"/>
    <s v="H. A .S. Diesel Engineering"/>
    <x v="3"/>
    <x v="3"/>
    <s v="4227297315"/>
    <d v="2024-09-20T00:00:00"/>
    <n v="9"/>
    <x v="1"/>
    <n v="203196"/>
    <n v="203196"/>
    <n v="60"/>
    <x v="3"/>
    <s v="777584096"/>
  </r>
  <r>
    <s v="190001938"/>
    <s v="Jayodya Motors &amp; Auto Mobile"/>
    <x v="3"/>
    <x v="3"/>
    <s v="4227256024"/>
    <d v="2023-09-27T00:00:00"/>
    <n v="9"/>
    <x v="0"/>
    <n v="5706"/>
    <n v="5706"/>
    <n v="419"/>
    <x v="866"/>
    <s v="718118071"/>
  </r>
  <r>
    <s v="190001939"/>
    <s v="L. S. C. Auto Workshop"/>
    <x v="3"/>
    <x v="3"/>
    <s v="156175-CASH"/>
    <d v="2021-05-28T00:00:00"/>
    <n v="5"/>
    <x v="4"/>
    <n v="-260"/>
    <n v="-260"/>
    <n v="1271"/>
    <x v="867"/>
    <s v="767442479"/>
  </r>
  <r>
    <s v="190001939"/>
    <s v="L. S. C. Auto Workshop"/>
    <x v="3"/>
    <x v="3"/>
    <s v="4227288992"/>
    <d v="2024-07-25T00:00:00"/>
    <n v="7"/>
    <x v="1"/>
    <n v="61653"/>
    <n v="1"/>
    <n v="117"/>
    <x v="519"/>
    <s v="767442479"/>
  </r>
  <r>
    <s v="190001939"/>
    <s v="L. S. C. Auto Workshop"/>
    <x v="3"/>
    <x v="3"/>
    <s v="4227297316"/>
    <d v="2024-09-20T00:00:00"/>
    <n v="9"/>
    <x v="1"/>
    <n v="64570"/>
    <n v="64570"/>
    <n v="60"/>
    <x v="3"/>
    <s v="767442479"/>
  </r>
  <r>
    <s v="190001943"/>
    <s v="Otoka Enterprises"/>
    <x v="3"/>
    <x v="3"/>
    <s v="4227252709"/>
    <d v="2023-08-31T00:00:00"/>
    <n v="8"/>
    <x v="0"/>
    <n v="216781"/>
    <n v="25000"/>
    <n v="446"/>
    <x v="868"/>
    <s v="115477891"/>
  </r>
  <r>
    <s v="190001943"/>
    <s v="Otoka Enterprises"/>
    <x v="3"/>
    <x v="3"/>
    <s v="4227252710"/>
    <d v="2023-08-31T00:00:00"/>
    <n v="8"/>
    <x v="0"/>
    <n v="9488"/>
    <n v="9488"/>
    <n v="446"/>
    <x v="869"/>
    <s v="115477891"/>
  </r>
  <r>
    <s v="190001943"/>
    <s v="Otoka Enterprises"/>
    <x v="3"/>
    <x v="3"/>
    <s v="4227286657"/>
    <d v="2024-07-09T00:00:00"/>
    <n v="7"/>
    <x v="1"/>
    <n v="53100"/>
    <n v="53100"/>
    <n v="133"/>
    <x v="870"/>
    <s v="115477891"/>
  </r>
  <r>
    <s v="190001943"/>
    <s v="Otoka Enterprises"/>
    <x v="3"/>
    <x v="3"/>
    <s v="4227286658"/>
    <d v="2024-07-09T00:00:00"/>
    <n v="7"/>
    <x v="1"/>
    <n v="69384"/>
    <n v="69384"/>
    <n v="133"/>
    <x v="37"/>
    <s v="115477891"/>
  </r>
  <r>
    <s v="190001943"/>
    <s v="Otoka Enterprises"/>
    <x v="3"/>
    <x v="3"/>
    <s v="4227286659"/>
    <d v="2024-07-09T00:00:00"/>
    <n v="7"/>
    <x v="1"/>
    <n v="38244"/>
    <n v="38244"/>
    <n v="133"/>
    <x v="871"/>
    <s v="115477891"/>
  </r>
  <r>
    <s v="190001943"/>
    <s v="Otoka Enterprises"/>
    <x v="3"/>
    <x v="3"/>
    <s v="4227292335"/>
    <d v="2024-08-15T00:00:00"/>
    <n v="8"/>
    <x v="1"/>
    <n v="200135"/>
    <n v="200135"/>
    <n v="96"/>
    <x v="872"/>
    <s v="115477891"/>
  </r>
  <r>
    <s v="190001943"/>
    <s v="Otoka Enterprises"/>
    <x v="3"/>
    <x v="3"/>
    <s v="4227292599"/>
    <d v="2024-08-20T00:00:00"/>
    <n v="8"/>
    <x v="1"/>
    <n v="397778"/>
    <n v="397778"/>
    <n v="91"/>
    <x v="873"/>
    <s v="115477891"/>
  </r>
  <r>
    <s v="190001943"/>
    <s v="Otoka Enterprises"/>
    <x v="3"/>
    <x v="3"/>
    <s v="4227293097"/>
    <d v="2024-08-23T00:00:00"/>
    <n v="8"/>
    <x v="1"/>
    <n v="98105"/>
    <n v="98105"/>
    <n v="88"/>
    <x v="3"/>
    <s v="115477891"/>
  </r>
  <r>
    <s v="190001943"/>
    <s v="Otoka Enterprises"/>
    <x v="3"/>
    <x v="3"/>
    <s v="4227293328"/>
    <d v="2024-08-26T00:00:00"/>
    <n v="8"/>
    <x v="1"/>
    <n v="37137"/>
    <n v="37137"/>
    <n v="85"/>
    <x v="3"/>
    <s v="115477891"/>
  </r>
  <r>
    <s v="190001943"/>
    <s v="Otoka Enterprises"/>
    <x v="3"/>
    <x v="3"/>
    <s v="4227294350"/>
    <d v="2024-08-30T00:00:00"/>
    <n v="8"/>
    <x v="1"/>
    <n v="12443"/>
    <n v="12443"/>
    <n v="81"/>
    <x v="3"/>
    <s v="115477891"/>
  </r>
  <r>
    <s v="190001943"/>
    <s v="Otoka Enterprises"/>
    <x v="3"/>
    <x v="3"/>
    <s v="4227294919"/>
    <d v="2024-08-31T00:00:00"/>
    <n v="8"/>
    <x v="1"/>
    <n v="49772"/>
    <n v="49772"/>
    <n v="80"/>
    <x v="3"/>
    <s v="115477891"/>
  </r>
  <r>
    <s v="190001943"/>
    <s v="Otoka Enterprises"/>
    <x v="3"/>
    <x v="3"/>
    <s v="4227294928"/>
    <d v="2024-08-31T00:00:00"/>
    <n v="8"/>
    <x v="1"/>
    <n v="254526"/>
    <n v="254526"/>
    <n v="80"/>
    <x v="3"/>
    <s v="115477891"/>
  </r>
  <r>
    <s v="190001944"/>
    <s v="Pathma Motor Stores (PVT) Ltd"/>
    <x v="3"/>
    <x v="3"/>
    <s v="4227259429"/>
    <d v="2023-10-27T00:00:00"/>
    <n v="10"/>
    <x v="0"/>
    <n v="241500"/>
    <n v="60547.5"/>
    <n v="389"/>
    <x v="874"/>
    <s v="112925666"/>
  </r>
  <r>
    <s v="190001944"/>
    <s v="Pathma Motor Stores (PVT) Ltd"/>
    <x v="3"/>
    <x v="3"/>
    <s v="4227280322"/>
    <d v="2024-05-14T00:00:00"/>
    <n v="5"/>
    <x v="1"/>
    <n v="215232"/>
    <n v="10000.5"/>
    <n v="189"/>
    <x v="875"/>
    <s v="112925666"/>
  </r>
  <r>
    <s v="190001944"/>
    <s v="Pathma Motor Stores (PVT) Ltd"/>
    <x v="3"/>
    <x v="3"/>
    <s v="4227288986"/>
    <d v="2024-07-25T00:00:00"/>
    <n v="7"/>
    <x v="1"/>
    <n v="472000"/>
    <n v="127074.15"/>
    <n v="117"/>
    <x v="876"/>
    <s v="112925666"/>
  </r>
  <r>
    <s v="190001944"/>
    <s v="Pathma Motor Stores (PVT) Ltd"/>
    <x v="3"/>
    <x v="3"/>
    <s v="4227288993"/>
    <d v="2024-07-25T00:00:00"/>
    <n v="7"/>
    <x v="1"/>
    <n v="249889"/>
    <n v="55135.5"/>
    <n v="117"/>
    <x v="877"/>
    <s v="112925666"/>
  </r>
  <r>
    <s v="190001944"/>
    <s v="Pathma Motor Stores (PVT) Ltd"/>
    <x v="3"/>
    <x v="3"/>
    <s v="4227298674"/>
    <d v="2024-09-30T00:00:00"/>
    <n v="9"/>
    <x v="1"/>
    <n v="225994"/>
    <n v="225994"/>
    <n v="50"/>
    <x v="3"/>
    <s v="112925666"/>
  </r>
  <r>
    <s v="190001945"/>
    <s v="Randeniya Motors"/>
    <x v="3"/>
    <x v="3"/>
    <s v="4227249334"/>
    <d v="2023-07-31T00:00:00"/>
    <n v="7"/>
    <x v="0"/>
    <n v="108307"/>
    <n v="16040"/>
    <n v="477"/>
    <x v="878"/>
    <s v="112922665"/>
  </r>
  <r>
    <s v="190001945"/>
    <s v="Randeniya Motors"/>
    <x v="3"/>
    <x v="3"/>
    <s v="4227298035"/>
    <d v="2024-09-27T00:00:00"/>
    <n v="9"/>
    <x v="1"/>
    <n v="43134"/>
    <n v="43134"/>
    <n v="53"/>
    <x v="3"/>
    <s v="112922665"/>
  </r>
  <r>
    <s v="190001948"/>
    <s v="Sparklit Motors"/>
    <x v="3"/>
    <x v="3"/>
    <s v=""/>
    <d v="2022-01-04T00:00:00"/>
    <n v="1"/>
    <x v="6"/>
    <n v="-375.37"/>
    <n v="-375.37"/>
    <n v="1050"/>
    <x v="879"/>
    <s v="776736180"/>
  </r>
  <r>
    <s v="190001948"/>
    <s v="Sparklit Motors"/>
    <x v="3"/>
    <x v="3"/>
    <s v="212734 / 222515"/>
    <d v="2023-11-16T00:00:00"/>
    <n v="11"/>
    <x v="0"/>
    <n v="-34271"/>
    <n v="-34271"/>
    <n v="369"/>
    <x v="880"/>
    <s v="776736180"/>
  </r>
  <r>
    <s v="190001948"/>
    <s v="Sparklit Motors"/>
    <x v="3"/>
    <x v="3"/>
    <s v="4227237210"/>
    <d v="2023-03-24T00:00:00"/>
    <n v="3"/>
    <x v="0"/>
    <n v="47351"/>
    <n v="1236"/>
    <n v="606"/>
    <x v="881"/>
    <s v="776736180"/>
  </r>
  <r>
    <s v="190001948"/>
    <s v="Sparklit Motors"/>
    <x v="3"/>
    <x v="3"/>
    <s v="4227254556"/>
    <d v="2023-09-16T00:00:00"/>
    <n v="9"/>
    <x v="0"/>
    <n v="37664"/>
    <n v="37664"/>
    <n v="430"/>
    <x v="882"/>
    <s v="776736180"/>
  </r>
  <r>
    <s v="190001948"/>
    <s v="Sparklit Motors"/>
    <x v="3"/>
    <x v="3"/>
    <s v="4227259205"/>
    <d v="2023-10-25T00:00:00"/>
    <n v="10"/>
    <x v="0"/>
    <n v="10868"/>
    <n v="10868"/>
    <n v="391"/>
    <x v="883"/>
    <s v="776736180"/>
  </r>
  <r>
    <s v="190001948"/>
    <s v="Sparklit Motors"/>
    <x v="3"/>
    <x v="3"/>
    <s v="4227271576"/>
    <d v="2024-02-20T00:00:00"/>
    <n v="2"/>
    <x v="1"/>
    <n v="11771"/>
    <n v="11771"/>
    <n v="273"/>
    <x v="884"/>
    <s v="776736180"/>
  </r>
  <r>
    <s v="190001948"/>
    <s v="Sparklit Motors"/>
    <x v="3"/>
    <x v="3"/>
    <s v="4227271721"/>
    <d v="2024-02-20T00:00:00"/>
    <n v="2"/>
    <x v="1"/>
    <n v="24067"/>
    <n v="24067"/>
    <n v="273"/>
    <x v="885"/>
    <s v="776736180"/>
  </r>
  <r>
    <s v="190001948"/>
    <s v="Sparklit Motors"/>
    <x v="3"/>
    <x v="3"/>
    <s v="4227271728"/>
    <d v="2024-02-20T00:00:00"/>
    <n v="2"/>
    <x v="1"/>
    <n v="3481"/>
    <n v="3481"/>
    <n v="273"/>
    <x v="886"/>
    <s v="776736180"/>
  </r>
  <r>
    <s v="190001948"/>
    <s v="Sparklit Motors"/>
    <x v="3"/>
    <x v="3"/>
    <s v="4227276062"/>
    <d v="2024-03-27T00:00:00"/>
    <n v="3"/>
    <x v="1"/>
    <n v="102365"/>
    <n v="14455"/>
    <n v="237"/>
    <x v="688"/>
    <s v="776736180"/>
  </r>
  <r>
    <s v="190001948"/>
    <s v="Sparklit Motors"/>
    <x v="3"/>
    <x v="3"/>
    <s v="4227282351"/>
    <d v="2024-05-31T00:00:00"/>
    <n v="5"/>
    <x v="1"/>
    <n v="55944"/>
    <n v="2797.39"/>
    <n v="172"/>
    <x v="887"/>
    <s v="776736180"/>
  </r>
  <r>
    <s v="190001948"/>
    <s v="Sparklit Motors"/>
    <x v="3"/>
    <x v="3"/>
    <s v="4227288928"/>
    <d v="2024-07-24T00:00:00"/>
    <n v="7"/>
    <x v="1"/>
    <n v="51920"/>
    <n v="2596"/>
    <n v="118"/>
    <x v="888"/>
    <s v="776736180"/>
  </r>
  <r>
    <s v="190001948"/>
    <s v="Sparklit Motors"/>
    <x v="3"/>
    <x v="3"/>
    <s v="4227292215"/>
    <d v="2024-08-15T00:00:00"/>
    <n v="8"/>
    <x v="1"/>
    <n v="87910"/>
    <n v="4395.5"/>
    <n v="96"/>
    <x v="889"/>
    <s v="776736180"/>
  </r>
  <r>
    <s v="190001948"/>
    <s v="Sparklit Motors"/>
    <x v="3"/>
    <x v="3"/>
    <s v="4227298195"/>
    <d v="2024-09-28T00:00:00"/>
    <n v="9"/>
    <x v="1"/>
    <n v="93303"/>
    <n v="4665.53"/>
    <n v="52"/>
    <x v="3"/>
    <s v="776736180"/>
  </r>
  <r>
    <s v="190001948"/>
    <s v="Sparklit Motors"/>
    <x v="3"/>
    <x v="3"/>
    <s v="4227306131"/>
    <d v="2024-11-19T00:00:00"/>
    <n v="11"/>
    <x v="1"/>
    <n v="56192"/>
    <n v="56192"/>
    <n v="0"/>
    <x v="3"/>
    <s v="776736180"/>
  </r>
  <r>
    <s v="190001948"/>
    <s v="Sparklit Motors"/>
    <x v="3"/>
    <x v="3"/>
    <s v="4227306132"/>
    <d v="2024-11-19T00:00:00"/>
    <n v="11"/>
    <x v="1"/>
    <n v="20650"/>
    <n v="20650"/>
    <n v="0"/>
    <x v="3"/>
    <s v="776736180"/>
  </r>
  <r>
    <s v="190001965"/>
    <s v="Kumara Auto Care Services (PVT) Ltd"/>
    <x v="3"/>
    <x v="3"/>
    <s v="214186"/>
    <d v="2024-01-05T00:00:00"/>
    <n v="1"/>
    <x v="1"/>
    <n v="-20000"/>
    <n v="-20000"/>
    <n v="319"/>
    <x v="332"/>
    <s v="114587587"/>
  </r>
  <r>
    <s v="190001965"/>
    <s v="Kumara Auto Care Services (PVT) Ltd"/>
    <x v="3"/>
    <x v="3"/>
    <s v="4227247779"/>
    <d v="2023-07-18T00:00:00"/>
    <n v="7"/>
    <x v="0"/>
    <n v="21304"/>
    <n v="14709"/>
    <n v="490"/>
    <x v="890"/>
    <s v="114587587"/>
  </r>
  <r>
    <s v="190001965"/>
    <s v="Kumara Auto Care Services (PVT) Ltd"/>
    <x v="3"/>
    <x v="3"/>
    <s v="4227251682"/>
    <d v="2023-08-24T00:00:00"/>
    <n v="8"/>
    <x v="0"/>
    <n v="56778"/>
    <n v="56778"/>
    <n v="453"/>
    <x v="891"/>
    <s v="114587587"/>
  </r>
  <r>
    <s v="190001965"/>
    <s v="Kumara Auto Care Services (PVT) Ltd"/>
    <x v="3"/>
    <x v="3"/>
    <s v="4227264682"/>
    <d v="2023-12-14T00:00:00"/>
    <n v="12"/>
    <x v="0"/>
    <n v="23345"/>
    <n v="23345"/>
    <n v="341"/>
    <x v="892"/>
    <s v="114587587"/>
  </r>
  <r>
    <s v="190001965"/>
    <s v="Kumara Auto Care Services (PVT) Ltd"/>
    <x v="3"/>
    <x v="3"/>
    <s v="4227268950"/>
    <d v="2024-01-26T00:00:00"/>
    <n v="1"/>
    <x v="1"/>
    <n v="82187"/>
    <n v="29217"/>
    <n v="298"/>
    <x v="893"/>
    <s v="114587587"/>
  </r>
  <r>
    <s v="190001965"/>
    <s v="Kumara Auto Care Services (PVT) Ltd"/>
    <x v="3"/>
    <x v="3"/>
    <s v="4227269440"/>
    <d v="2024-01-30T00:00:00"/>
    <n v="1"/>
    <x v="1"/>
    <n v="94400"/>
    <n v="94400"/>
    <n v="294"/>
    <x v="685"/>
    <s v="114587587"/>
  </r>
  <r>
    <s v="190001965"/>
    <s v="Kumara Auto Care Services (PVT) Ltd"/>
    <x v="3"/>
    <x v="3"/>
    <s v="4227270690"/>
    <d v="2024-02-09T00:00:00"/>
    <n v="2"/>
    <x v="1"/>
    <n v="21927"/>
    <n v="21927"/>
    <n v="284"/>
    <x v="894"/>
    <s v="114587587"/>
  </r>
  <r>
    <s v="190001965"/>
    <s v="Kumara Auto Care Services (PVT) Ltd"/>
    <x v="3"/>
    <x v="3"/>
    <s v="4227271268"/>
    <d v="2024-02-16T00:00:00"/>
    <n v="2"/>
    <x v="1"/>
    <n v="16872"/>
    <n v="16872"/>
    <n v="277"/>
    <x v="895"/>
    <s v="114587587"/>
  </r>
  <r>
    <s v="190001965"/>
    <s v="Kumara Auto Care Services (PVT) Ltd"/>
    <x v="3"/>
    <x v="3"/>
    <s v="4227271269"/>
    <d v="2024-02-16T00:00:00"/>
    <n v="2"/>
    <x v="1"/>
    <n v="15252"/>
    <n v="15252"/>
    <n v="277"/>
    <x v="896"/>
    <s v="114587587"/>
  </r>
  <r>
    <s v="190001965"/>
    <s v="Kumara Auto Care Services (PVT) Ltd"/>
    <x v="3"/>
    <x v="3"/>
    <s v="4227271413"/>
    <d v="2024-02-19T00:00:00"/>
    <n v="2"/>
    <x v="1"/>
    <n v="13570"/>
    <n v="13570"/>
    <n v="274"/>
    <x v="897"/>
    <s v="114587587"/>
  </r>
  <r>
    <s v="190001965"/>
    <s v="Kumara Auto Care Services (PVT) Ltd"/>
    <x v="3"/>
    <x v="3"/>
    <s v="4227271417"/>
    <d v="2024-02-19T00:00:00"/>
    <n v="2"/>
    <x v="1"/>
    <n v="38173"/>
    <n v="38173"/>
    <n v="274"/>
    <x v="898"/>
    <s v="114587587"/>
  </r>
  <r>
    <s v="190001965"/>
    <s v="Kumara Auto Care Services (PVT) Ltd"/>
    <x v="3"/>
    <x v="3"/>
    <s v="4227271431"/>
    <d v="2024-02-19T00:00:00"/>
    <n v="2"/>
    <x v="1"/>
    <n v="114696"/>
    <n v="114696"/>
    <n v="274"/>
    <x v="899"/>
    <s v="114587587"/>
  </r>
  <r>
    <s v="190001965"/>
    <s v="Kumara Auto Care Services (PVT) Ltd"/>
    <x v="3"/>
    <x v="3"/>
    <s v="4227273870"/>
    <d v="2024-03-08T00:00:00"/>
    <n v="3"/>
    <x v="1"/>
    <n v="82600"/>
    <n v="82600"/>
    <n v="256"/>
    <x v="900"/>
    <s v="114587587"/>
  </r>
  <r>
    <s v="190001965"/>
    <s v="Kumara Auto Care Services (PVT) Ltd"/>
    <x v="3"/>
    <x v="3"/>
    <s v="4227273871"/>
    <d v="2024-03-08T00:00:00"/>
    <n v="3"/>
    <x v="1"/>
    <n v="88854"/>
    <n v="88854"/>
    <n v="256"/>
    <x v="901"/>
    <s v="114587587"/>
  </r>
  <r>
    <s v="190001965"/>
    <s v="Kumara Auto Care Services (PVT) Ltd"/>
    <x v="3"/>
    <x v="3"/>
    <s v="4227281018"/>
    <d v="2024-05-17T00:00:00"/>
    <n v="5"/>
    <x v="1"/>
    <n v="7080"/>
    <n v="7080"/>
    <n v="186"/>
    <x v="33"/>
    <s v="114587587"/>
  </r>
  <r>
    <s v="190001973"/>
    <s v="Arrow Auto AC"/>
    <x v="3"/>
    <x v="3"/>
    <s v="4227282352"/>
    <d v="2024-05-31T00:00:00"/>
    <n v="5"/>
    <x v="1"/>
    <n v="48764"/>
    <n v="2438"/>
    <n v="172"/>
    <x v="902"/>
    <s v="773716588"/>
  </r>
  <r>
    <s v="190001973"/>
    <s v="Arrow Auto AC"/>
    <x v="3"/>
    <x v="3"/>
    <s v="4227283300"/>
    <d v="2024-06-10T00:00:00"/>
    <n v="6"/>
    <x v="1"/>
    <n v="65018"/>
    <n v="3251"/>
    <n v="162"/>
    <x v="903"/>
    <s v="773716588"/>
  </r>
  <r>
    <s v="190001973"/>
    <s v="Arrow Auto AC"/>
    <x v="3"/>
    <x v="3"/>
    <s v="4227296451"/>
    <d v="2024-09-13T00:00:00"/>
    <n v="9"/>
    <x v="1"/>
    <n v="31843"/>
    <n v="31843"/>
    <n v="67"/>
    <x v="3"/>
    <s v="773716588"/>
  </r>
  <r>
    <s v="190001973"/>
    <s v="Arrow Auto AC"/>
    <x v="3"/>
    <x v="3"/>
    <s v="4227297317"/>
    <d v="2024-09-20T00:00:00"/>
    <n v="9"/>
    <x v="1"/>
    <n v="85550"/>
    <n v="85550"/>
    <n v="60"/>
    <x v="3"/>
    <s v="773716588"/>
  </r>
  <r>
    <s v="190001993"/>
    <s v="Newan Auto Car Care Center"/>
    <x v="3"/>
    <x v="3"/>
    <s v="4227100176"/>
    <d v="2019-04-10T00:00:00"/>
    <n v="4"/>
    <x v="5"/>
    <n v="1006"/>
    <n v="1006"/>
    <n v="2050"/>
    <x v="904"/>
    <s v="0778782939"/>
  </r>
  <r>
    <s v="190002589"/>
    <s v="Auto Doctor Colombo (Pvt) Ltd"/>
    <x v="3"/>
    <x v="3"/>
    <s v="4227297485"/>
    <d v="2024-09-24T00:00:00"/>
    <n v="9"/>
    <x v="1"/>
    <n v="4366"/>
    <n v="4366"/>
    <n v="56"/>
    <x v="3"/>
    <s v="0770423600"/>
  </r>
  <r>
    <s v="190003324"/>
    <s v="L. R. Motors &amp; Tyre Center"/>
    <x v="3"/>
    <x v="3"/>
    <s v="4227274835"/>
    <d v="2024-03-18T00:00:00"/>
    <n v="3"/>
    <x v="1"/>
    <n v="69989"/>
    <n v="3776"/>
    <n v="246"/>
    <x v="905"/>
    <s v="719112520"/>
  </r>
  <r>
    <s v="190003324"/>
    <s v="L. R. Motors &amp; Tyre Center"/>
    <x v="3"/>
    <x v="3"/>
    <s v="4227281269"/>
    <d v="2024-05-21T00:00:00"/>
    <n v="5"/>
    <x v="1"/>
    <n v="187773"/>
    <n v="12440"/>
    <n v="182"/>
    <x v="906"/>
    <s v="719112520"/>
  </r>
  <r>
    <s v="190003997"/>
    <s v="Pasyala Ana Kade"/>
    <x v="3"/>
    <x v="3"/>
    <s v="4227212761"/>
    <d v="2022-06-06T00:00:00"/>
    <n v="6"/>
    <x v="6"/>
    <n v="14364"/>
    <n v="4575"/>
    <n v="897"/>
    <x v="907"/>
    <s v="332285772"/>
  </r>
  <r>
    <s v="190004228"/>
    <s v="New Rahen Motors"/>
    <x v="3"/>
    <x v="3"/>
    <s v="4227277413"/>
    <d v="2024-04-09T00:00:00"/>
    <n v="4"/>
    <x v="1"/>
    <n v="42480"/>
    <n v="13680"/>
    <n v="224"/>
    <x v="908"/>
    <s v="713413256"/>
  </r>
  <r>
    <s v="190004231"/>
    <s v="Roshan Motors"/>
    <x v="3"/>
    <x v="3"/>
    <s v="4227278582"/>
    <d v="2024-04-30T00:00:00"/>
    <n v="4"/>
    <x v="1"/>
    <n v="29900"/>
    <n v="29900"/>
    <n v="203"/>
    <x v="909"/>
    <s v="714712388"/>
  </r>
  <r>
    <s v="190004231"/>
    <s v="Roshan Motors"/>
    <x v="3"/>
    <x v="3"/>
    <s v="4227278583"/>
    <d v="2024-04-30T00:00:00"/>
    <n v="4"/>
    <x v="1"/>
    <n v="30285"/>
    <n v="30285"/>
    <n v="203"/>
    <x v="910"/>
    <s v="714712388"/>
  </r>
  <r>
    <s v="190004231"/>
    <s v="Roshan Motors"/>
    <x v="3"/>
    <x v="3"/>
    <s v="4227278630"/>
    <d v="2024-04-30T00:00:00"/>
    <n v="4"/>
    <x v="1"/>
    <n v="115640"/>
    <n v="115640"/>
    <n v="203"/>
    <x v="911"/>
    <s v="714712388"/>
  </r>
  <r>
    <s v="190004231"/>
    <s v="Roshan Motors"/>
    <x v="3"/>
    <x v="3"/>
    <s v="4227278747"/>
    <d v="2024-04-30T00:00:00"/>
    <n v="4"/>
    <x v="1"/>
    <n v="12390"/>
    <n v="12390"/>
    <n v="203"/>
    <x v="912"/>
    <s v="714712388"/>
  </r>
  <r>
    <s v="190004231"/>
    <s v="Roshan Motors"/>
    <x v="3"/>
    <x v="3"/>
    <s v="4227279349"/>
    <d v="2024-05-04T00:00:00"/>
    <n v="5"/>
    <x v="1"/>
    <n v="24780"/>
    <n v="24780"/>
    <n v="199"/>
    <x v="913"/>
    <s v="714712388"/>
  </r>
  <r>
    <s v="190004231"/>
    <s v="Roshan Motors"/>
    <x v="3"/>
    <x v="3"/>
    <s v="4227280610"/>
    <d v="2024-05-14T00:00:00"/>
    <n v="5"/>
    <x v="1"/>
    <n v="24072"/>
    <n v="24072"/>
    <n v="189"/>
    <x v="914"/>
    <s v="714712388"/>
  </r>
  <r>
    <s v="190004256"/>
    <s v="Rahen Motors"/>
    <x v="3"/>
    <x v="3"/>
    <s v="4227299702"/>
    <d v="2024-10-08T00:00:00"/>
    <n v="10"/>
    <x v="1"/>
    <n v="87792"/>
    <n v="87792"/>
    <n v="42"/>
    <x v="3"/>
    <s v="0766680331"/>
  </r>
  <r>
    <s v="190004256"/>
    <s v="Rahen Motors"/>
    <x v="3"/>
    <x v="3"/>
    <s v="4227303105"/>
    <d v="2024-10-30T00:00:00"/>
    <n v="10"/>
    <x v="1"/>
    <n v="27000"/>
    <n v="27000"/>
    <n v="20"/>
    <x v="3"/>
    <s v="0766680331"/>
  </r>
  <r>
    <s v="190004256"/>
    <s v="Rahen Motors"/>
    <x v="3"/>
    <x v="3"/>
    <s v="4227303106"/>
    <d v="2024-10-30T00:00:00"/>
    <n v="10"/>
    <x v="1"/>
    <n v="48852"/>
    <n v="48852"/>
    <n v="20"/>
    <x v="3"/>
    <s v="0766680331"/>
  </r>
  <r>
    <s v="190004790"/>
    <s v="Benz Garage"/>
    <x v="3"/>
    <x v="3"/>
    <s v="220328"/>
    <d v="2024-04-29T00:00:00"/>
    <n v="4"/>
    <x v="1"/>
    <n v="-32825"/>
    <n v="-32825"/>
    <n v="204"/>
    <x v="915"/>
    <s v="332257149"/>
  </r>
  <r>
    <s v="190004790"/>
    <s v="Benz Garage"/>
    <x v="3"/>
    <x v="3"/>
    <s v="220349"/>
    <d v="2024-05-06T00:00:00"/>
    <n v="5"/>
    <x v="1"/>
    <n v="-150000"/>
    <n v="-150000"/>
    <n v="197"/>
    <x v="916"/>
    <s v="332257149"/>
  </r>
  <r>
    <s v="190004790"/>
    <s v="Benz Garage"/>
    <x v="3"/>
    <x v="3"/>
    <s v="225012"/>
    <d v="2024-05-17T00:00:00"/>
    <n v="5"/>
    <x v="1"/>
    <n v="-25746"/>
    <n v="-25746"/>
    <n v="186"/>
    <x v="917"/>
    <s v="332257149"/>
  </r>
  <r>
    <s v="190004790"/>
    <s v="Benz Garage"/>
    <x v="3"/>
    <x v="3"/>
    <s v="227581"/>
    <d v="2024-07-08T00:00:00"/>
    <n v="7"/>
    <x v="1"/>
    <n v="-120000"/>
    <n v="-120000"/>
    <n v="134"/>
    <x v="918"/>
    <s v="332257149"/>
  </r>
  <r>
    <s v="190004790"/>
    <s v="Benz Garage"/>
    <x v="3"/>
    <x v="3"/>
    <s v="230270"/>
    <d v="2024-07-31T00:00:00"/>
    <n v="7"/>
    <x v="1"/>
    <n v="-10000"/>
    <n v="-10000"/>
    <n v="111"/>
    <x v="505"/>
    <s v="332257149"/>
  </r>
  <r>
    <s v="190004790"/>
    <s v="Benz Garage"/>
    <x v="3"/>
    <x v="3"/>
    <s v="206836"/>
    <d v="2023-09-09T00:00:00"/>
    <n v="9"/>
    <x v="0"/>
    <n v="-20000"/>
    <n v="-1342"/>
    <n v="437"/>
    <x v="919"/>
    <s v="332257149"/>
  </r>
  <r>
    <s v="190004790"/>
    <s v="Benz Garage"/>
    <x v="3"/>
    <x v="3"/>
    <s v="230270"/>
    <d v="2024-07-30T00:00:00"/>
    <n v="7"/>
    <x v="1"/>
    <n v="-190000"/>
    <n v="-190000"/>
    <n v="112"/>
    <x v="920"/>
    <s v="332257149"/>
  </r>
  <r>
    <s v="190004790"/>
    <s v="Benz Garage"/>
    <x v="3"/>
    <x v="3"/>
    <s v="232957"/>
    <d v="2024-08-21T00:00:00"/>
    <n v="8"/>
    <x v="1"/>
    <n v="-18369"/>
    <n v="-18369"/>
    <n v="90"/>
    <x v="921"/>
    <s v="332257149"/>
  </r>
  <r>
    <s v="190004790"/>
    <s v="Benz Garage"/>
    <x v="3"/>
    <x v="3"/>
    <s v="214175"/>
    <d v="2023-12-30T00:00:00"/>
    <n v="12"/>
    <x v="0"/>
    <n v="-20000"/>
    <n v="-20000"/>
    <n v="325"/>
    <x v="332"/>
    <s v="332257149"/>
  </r>
  <r>
    <s v="190004790"/>
    <s v="Benz Garage"/>
    <x v="3"/>
    <x v="3"/>
    <s v="4227247746"/>
    <d v="2023-07-17T00:00:00"/>
    <n v="7"/>
    <x v="0"/>
    <n v="190670"/>
    <n v="670"/>
    <n v="491"/>
    <x v="922"/>
    <s v="332257149"/>
  </r>
  <r>
    <s v="190004790"/>
    <s v="Benz Garage"/>
    <x v="3"/>
    <x v="3"/>
    <s v="4227257210"/>
    <d v="2023-10-07T00:00:00"/>
    <n v="10"/>
    <x v="0"/>
    <n v="126500"/>
    <n v="1090"/>
    <n v="409"/>
    <x v="757"/>
    <s v="332257149"/>
  </r>
  <r>
    <s v="190004790"/>
    <s v="Benz Garage"/>
    <x v="3"/>
    <x v="3"/>
    <s v="4227271547"/>
    <d v="2024-02-19T00:00:00"/>
    <n v="2"/>
    <x v="1"/>
    <n v="97468"/>
    <n v="97468"/>
    <n v="274"/>
    <x v="923"/>
    <s v="332257149"/>
  </r>
  <r>
    <s v="190004790"/>
    <s v="Benz Garage"/>
    <x v="3"/>
    <x v="3"/>
    <s v="4227273441"/>
    <d v="2024-03-04T00:00:00"/>
    <n v="3"/>
    <x v="1"/>
    <n v="118000"/>
    <n v="68890"/>
    <n v="260"/>
    <x v="924"/>
    <s v="332257149"/>
  </r>
  <r>
    <s v="190004790"/>
    <s v="Benz Garage"/>
    <x v="3"/>
    <x v="3"/>
    <s v="4227278689"/>
    <d v="2024-04-30T00:00:00"/>
    <n v="4"/>
    <x v="1"/>
    <n v="28025"/>
    <n v="28025"/>
    <n v="203"/>
    <x v="925"/>
    <s v="332257149"/>
  </r>
  <r>
    <s v="190004790"/>
    <s v="Benz Garage"/>
    <x v="3"/>
    <x v="3"/>
    <s v="4227278690"/>
    <d v="2024-04-30T00:00:00"/>
    <n v="4"/>
    <x v="1"/>
    <n v="44993"/>
    <n v="44993"/>
    <n v="203"/>
    <x v="926"/>
    <s v="332257149"/>
  </r>
  <r>
    <s v="190004790"/>
    <s v="Benz Garage"/>
    <x v="3"/>
    <x v="3"/>
    <s v="4227282679"/>
    <d v="2024-05-31T00:00:00"/>
    <n v="5"/>
    <x v="1"/>
    <n v="127829"/>
    <n v="27829"/>
    <n v="172"/>
    <x v="927"/>
    <s v="332257149"/>
  </r>
  <r>
    <s v="190004790"/>
    <s v="Benz Garage"/>
    <x v="3"/>
    <x v="3"/>
    <s v="4227286049"/>
    <d v="2024-06-30T00:00:00"/>
    <n v="6"/>
    <x v="1"/>
    <n v="534068"/>
    <n v="324068"/>
    <n v="142"/>
    <x v="928"/>
    <s v="332257149"/>
  </r>
  <r>
    <s v="190004790"/>
    <s v="Benz Garage"/>
    <x v="3"/>
    <x v="3"/>
    <s v="4227288006"/>
    <d v="2024-07-19T00:00:00"/>
    <n v="7"/>
    <x v="1"/>
    <n v="86376"/>
    <n v="86376"/>
    <n v="123"/>
    <x v="929"/>
    <s v="332257149"/>
  </r>
  <r>
    <s v="190004790"/>
    <s v="Benz Garage"/>
    <x v="3"/>
    <x v="3"/>
    <s v="4227291104"/>
    <d v="2024-08-06T00:00:00"/>
    <n v="8"/>
    <x v="1"/>
    <n v="101055"/>
    <n v="101055"/>
    <n v="105"/>
    <x v="930"/>
    <s v="332257149"/>
  </r>
  <r>
    <s v="190004790"/>
    <s v="Benz Garage"/>
    <x v="3"/>
    <x v="3"/>
    <s v="4227298643"/>
    <d v="2024-09-30T00:00:00"/>
    <n v="9"/>
    <x v="1"/>
    <n v="269999"/>
    <n v="269999"/>
    <n v="50"/>
    <x v="3"/>
    <s v="332257149"/>
  </r>
  <r>
    <s v="190004795"/>
    <s v="Samendra Motors"/>
    <x v="3"/>
    <x v="3"/>
    <s v="22030 / 703399"/>
    <d v="2024-05-06T00:00:00"/>
    <n v="5"/>
    <x v="1"/>
    <n v="-66384"/>
    <n v="-351"/>
    <n v="197"/>
    <x v="645"/>
    <s v="777470887"/>
  </r>
  <r>
    <s v="190004795"/>
    <s v="Samendra Motors"/>
    <x v="3"/>
    <x v="3"/>
    <s v="4227275495"/>
    <d v="2024-03-22T00:00:00"/>
    <n v="3"/>
    <x v="1"/>
    <n v="5163"/>
    <n v="5163"/>
    <n v="242"/>
    <x v="931"/>
    <s v="777470887"/>
  </r>
  <r>
    <s v="190004795"/>
    <s v="Samendra Motors"/>
    <x v="3"/>
    <x v="3"/>
    <s v="4227275496"/>
    <d v="2024-03-22T00:00:00"/>
    <n v="3"/>
    <x v="1"/>
    <n v="4838"/>
    <n v="4838"/>
    <n v="242"/>
    <x v="539"/>
    <s v="777470887"/>
  </r>
  <r>
    <s v="190004795"/>
    <s v="Samendra Motors"/>
    <x v="3"/>
    <x v="3"/>
    <s v="4227275680"/>
    <d v="2024-03-25T00:00:00"/>
    <n v="3"/>
    <x v="1"/>
    <n v="77609"/>
    <n v="77609"/>
    <n v="239"/>
    <x v="932"/>
    <s v="777470887"/>
  </r>
  <r>
    <s v="190004797"/>
    <s v="Wickkramarachchi Motors"/>
    <x v="3"/>
    <x v="3"/>
    <s v=""/>
    <d v="2022-09-30T00:00:00"/>
    <n v="9"/>
    <x v="6"/>
    <n v="-1488"/>
    <n v="-1488"/>
    <n v="781"/>
    <x v="933"/>
    <s v="776488788"/>
  </r>
  <r>
    <s v="190004802"/>
    <s v="Sathis Hardware"/>
    <x v="3"/>
    <x v="3"/>
    <s v="4227254128"/>
    <d v="2023-09-13T00:00:00"/>
    <n v="9"/>
    <x v="0"/>
    <n v="963"/>
    <n v="963"/>
    <n v="433"/>
    <x v="934"/>
    <s v="777820015"/>
  </r>
  <r>
    <s v="190004804"/>
    <s v="Shantha Auto A/C"/>
    <x v="3"/>
    <x v="3"/>
    <s v=""/>
    <d v="2018-04-16T00:00:00"/>
    <n v="4"/>
    <x v="2"/>
    <n v="-182"/>
    <n v="-182"/>
    <n v="2409"/>
    <x v="935"/>
    <s v=""/>
  </r>
  <r>
    <s v="190004804"/>
    <s v="Shantha Auto A/C"/>
    <x v="3"/>
    <x v="3"/>
    <s v="4227249726"/>
    <d v="2023-08-07T00:00:00"/>
    <n v="8"/>
    <x v="0"/>
    <n v="46920"/>
    <n v="36920"/>
    <n v="470"/>
    <x v="936"/>
    <s v=""/>
  </r>
  <r>
    <s v="190004804"/>
    <s v="Shantha Auto A/C"/>
    <x v="3"/>
    <x v="3"/>
    <s v="4227252960"/>
    <d v="2023-09-04T00:00:00"/>
    <n v="9"/>
    <x v="0"/>
    <n v="8481"/>
    <n v="8481"/>
    <n v="442"/>
    <x v="937"/>
    <s v=""/>
  </r>
  <r>
    <s v="190004804"/>
    <s v="Shantha Auto A/C"/>
    <x v="3"/>
    <x v="3"/>
    <s v="4227257359"/>
    <d v="2023-10-07T00:00:00"/>
    <n v="10"/>
    <x v="0"/>
    <n v="22080"/>
    <n v="22080"/>
    <n v="409"/>
    <x v="938"/>
    <s v=""/>
  </r>
  <r>
    <s v="190004804"/>
    <s v="Shantha Auto A/C"/>
    <x v="3"/>
    <x v="3"/>
    <s v="4227297215"/>
    <d v="2024-09-20T00:00:00"/>
    <n v="9"/>
    <x v="1"/>
    <n v="46728"/>
    <n v="46728"/>
    <n v="60"/>
    <x v="3"/>
    <s v=""/>
  </r>
  <r>
    <s v="190004804"/>
    <s v="Shantha Auto A/C"/>
    <x v="3"/>
    <x v="3"/>
    <s v="4227298156"/>
    <d v="2024-09-28T00:00:00"/>
    <n v="9"/>
    <x v="1"/>
    <n v="32285"/>
    <n v="32285"/>
    <n v="52"/>
    <x v="3"/>
    <s v=""/>
  </r>
  <r>
    <s v="190004981"/>
    <s v="Ranjith Motors"/>
    <x v="3"/>
    <x v="3"/>
    <s v="4227294222"/>
    <d v="2024-08-29T00:00:00"/>
    <n v="8"/>
    <x v="1"/>
    <n v="6667"/>
    <n v="6667"/>
    <n v="82"/>
    <x v="3"/>
    <s v="332270112"/>
  </r>
  <r>
    <s v="190004981"/>
    <s v="Ranjith Motors"/>
    <x v="3"/>
    <x v="3"/>
    <s v="4227297900"/>
    <d v="2024-09-26T00:00:00"/>
    <n v="9"/>
    <x v="1"/>
    <n v="14013"/>
    <n v="14013"/>
    <n v="54"/>
    <x v="3"/>
    <s v="332270112"/>
  </r>
  <r>
    <s v="190006271"/>
    <s v="W.A.Auto  Supply (Pvt) Ltd"/>
    <x v="3"/>
    <x v="3"/>
    <s v="4227258317"/>
    <d v="2023-10-17T00:00:00"/>
    <n v="10"/>
    <x v="0"/>
    <n v="63379"/>
    <n v="63379"/>
    <n v="399"/>
    <x v="939"/>
    <s v="033 2260026"/>
  </r>
  <r>
    <s v="190006271"/>
    <s v="W.A.Auto  Supply (Pvt) Ltd"/>
    <x v="3"/>
    <x v="3"/>
    <s v="4227258662"/>
    <d v="2023-10-20T00:00:00"/>
    <n v="10"/>
    <x v="0"/>
    <n v="43591"/>
    <n v="43591"/>
    <n v="396"/>
    <x v="940"/>
    <s v="033 2260026"/>
  </r>
  <r>
    <s v="190006271"/>
    <s v="W.A.Auto  Supply (Pvt) Ltd"/>
    <x v="3"/>
    <x v="3"/>
    <s v="4227261621"/>
    <d v="2023-11-16T00:00:00"/>
    <n v="11"/>
    <x v="0"/>
    <n v="42061"/>
    <n v="42061"/>
    <n v="369"/>
    <x v="941"/>
    <s v="033 2260026"/>
  </r>
  <r>
    <s v="190006271"/>
    <s v="W.A.Auto  Supply (Pvt) Ltd"/>
    <x v="3"/>
    <x v="3"/>
    <s v="4227263873"/>
    <d v="2023-12-06T00:00:00"/>
    <n v="12"/>
    <x v="0"/>
    <n v="41400"/>
    <n v="41400"/>
    <n v="349"/>
    <x v="557"/>
    <s v="033 2260026"/>
  </r>
  <r>
    <s v="190006271"/>
    <s v="W.A.Auto  Supply (Pvt) Ltd"/>
    <x v="3"/>
    <x v="3"/>
    <s v="4227269446"/>
    <d v="2024-01-30T00:00:00"/>
    <n v="1"/>
    <x v="1"/>
    <n v="107876"/>
    <n v="575"/>
    <n v="294"/>
    <x v="942"/>
    <s v="033 2260026"/>
  </r>
  <r>
    <s v="190006271"/>
    <s v="W.A.Auto  Supply (Pvt) Ltd"/>
    <x v="3"/>
    <x v="3"/>
    <s v="4227294909"/>
    <d v="2024-08-31T00:00:00"/>
    <n v="8"/>
    <x v="1"/>
    <n v="105280"/>
    <n v="105280"/>
    <n v="80"/>
    <x v="3"/>
    <s v="033 2260026"/>
  </r>
  <r>
    <s v="190006271"/>
    <s v="W.A.Auto  Supply (Pvt) Ltd"/>
    <x v="3"/>
    <x v="3"/>
    <s v="4227294910"/>
    <d v="2024-08-31T00:00:00"/>
    <n v="8"/>
    <x v="1"/>
    <n v="39294"/>
    <n v="39294"/>
    <n v="80"/>
    <x v="3"/>
    <s v="033 2260026"/>
  </r>
  <r>
    <s v="190006271"/>
    <s v="W.A.Auto  Supply (Pvt) Ltd"/>
    <x v="3"/>
    <x v="3"/>
    <s v="4227296230"/>
    <d v="2024-09-12T00:00:00"/>
    <n v="9"/>
    <x v="1"/>
    <n v="32285"/>
    <n v="32285"/>
    <n v="68"/>
    <x v="3"/>
    <s v="033 2260026"/>
  </r>
  <r>
    <s v="190006271"/>
    <s v="W.A.Auto  Supply (Pvt) Ltd"/>
    <x v="3"/>
    <x v="3"/>
    <s v="4227296231"/>
    <d v="2024-09-12T00:00:00"/>
    <n v="9"/>
    <x v="1"/>
    <n v="99545"/>
    <n v="99545"/>
    <n v="68"/>
    <x v="3"/>
    <s v="033 2260026"/>
  </r>
  <r>
    <s v="190006271"/>
    <s v="W.A.Auto  Supply (Pvt) Ltd"/>
    <x v="3"/>
    <x v="3"/>
    <s v="4227303120"/>
    <d v="2024-10-30T00:00:00"/>
    <n v="10"/>
    <x v="1"/>
    <n v="13924"/>
    <n v="13924"/>
    <n v="20"/>
    <x v="3"/>
    <s v="033 2260026"/>
  </r>
  <r>
    <s v="190006355"/>
    <s v="Auto Auction"/>
    <x v="3"/>
    <x v="3"/>
    <s v="4227182619"/>
    <d v="2021-07-30T00:00:00"/>
    <n v="7"/>
    <x v="4"/>
    <n v="35100"/>
    <n v="2600"/>
    <n v="1208"/>
    <x v="943"/>
    <s v="0112 910910"/>
  </r>
  <r>
    <s v="190006364"/>
    <s v="SSR Enterprises (Pvt) Ltd"/>
    <x v="3"/>
    <x v="3"/>
    <s v="220310 / 126839"/>
    <d v="2024-05-13T00:00:00"/>
    <n v="5"/>
    <x v="1"/>
    <n v="-100000"/>
    <n v="-100000"/>
    <n v="190"/>
    <x v="944"/>
    <s v="112902003"/>
  </r>
  <r>
    <s v="190006364"/>
    <s v="SSR Enterprises (Pvt) Ltd"/>
    <x v="3"/>
    <x v="3"/>
    <s v="227590 / 527942"/>
    <d v="2024-07-22T00:00:00"/>
    <n v="7"/>
    <x v="1"/>
    <n v="-100000"/>
    <n v="-100000"/>
    <n v="120"/>
    <x v="944"/>
    <s v="112902003"/>
  </r>
  <r>
    <s v="190006364"/>
    <s v="SSR Enterprises (Pvt) Ltd"/>
    <x v="3"/>
    <x v="3"/>
    <s v="227591 / 527943"/>
    <d v="2024-07-29T00:00:00"/>
    <n v="7"/>
    <x v="1"/>
    <n v="-100000"/>
    <n v="-100000"/>
    <n v="113"/>
    <x v="944"/>
    <s v="112902003"/>
  </r>
  <r>
    <s v="190006364"/>
    <s v="SSR Enterprises (Pvt) Ltd"/>
    <x v="3"/>
    <x v="3"/>
    <s v="227592 / 527944"/>
    <d v="2024-08-06T00:00:00"/>
    <n v="8"/>
    <x v="1"/>
    <n v="-100000"/>
    <n v="-100000"/>
    <n v="105"/>
    <x v="944"/>
    <s v="112902003"/>
  </r>
  <r>
    <s v="190006364"/>
    <s v="SSR Enterprises (Pvt) Ltd"/>
    <x v="3"/>
    <x v="3"/>
    <s v="227593 / 527945"/>
    <d v="2024-09-18T00:00:00"/>
    <n v="9"/>
    <x v="1"/>
    <n v="-100000"/>
    <n v="-100000"/>
    <n v="62"/>
    <x v="3"/>
    <s v="112902003"/>
  </r>
  <r>
    <s v="190006364"/>
    <s v="SSR Enterprises (Pvt) Ltd"/>
    <x v="3"/>
    <x v="3"/>
    <s v="227594 / 527946"/>
    <d v="2024-09-30T00:00:00"/>
    <n v="9"/>
    <x v="1"/>
    <n v="-100000"/>
    <n v="-100000"/>
    <n v="50"/>
    <x v="3"/>
    <s v="112902003"/>
  </r>
  <r>
    <s v="190006364"/>
    <s v="SSR Enterprises (Pvt) Ltd"/>
    <x v="3"/>
    <x v="3"/>
    <s v="227595/527947"/>
    <d v="2024-10-21T00:00:00"/>
    <n v="10"/>
    <x v="1"/>
    <n v="-120000"/>
    <n v="-120000"/>
    <n v="29"/>
    <x v="3"/>
    <s v="112902003"/>
  </r>
  <r>
    <s v="190006364"/>
    <s v="SSR Enterprises (Pvt) Ltd"/>
    <x v="3"/>
    <x v="3"/>
    <s v="235759 / 688139"/>
    <d v="2024-10-28T00:00:00"/>
    <n v="10"/>
    <x v="1"/>
    <n v="-79710"/>
    <n v="-79710"/>
    <n v="22"/>
    <x v="3"/>
    <s v="112902003"/>
  </r>
  <r>
    <s v="190006364"/>
    <s v="SSR Enterprises (Pvt) Ltd"/>
    <x v="3"/>
    <x v="3"/>
    <s v="4227272185"/>
    <d v="2024-02-26T00:00:00"/>
    <n v="2"/>
    <x v="1"/>
    <n v="31565"/>
    <n v="4482.2"/>
    <n v="267"/>
    <x v="945"/>
    <s v="112902003"/>
  </r>
  <r>
    <s v="190006364"/>
    <s v="SSR Enterprises (Pvt) Ltd"/>
    <x v="3"/>
    <x v="3"/>
    <s v="4227274840"/>
    <d v="2024-03-18T00:00:00"/>
    <n v="3"/>
    <x v="1"/>
    <n v="186162"/>
    <n v="186162"/>
    <n v="246"/>
    <x v="946"/>
    <s v="112902003"/>
  </r>
  <r>
    <s v="190006364"/>
    <s v="SSR Enterprises (Pvt) Ltd"/>
    <x v="3"/>
    <x v="3"/>
    <s v="4227276230"/>
    <d v="2024-03-27T00:00:00"/>
    <n v="3"/>
    <x v="1"/>
    <n v="43967"/>
    <n v="43967"/>
    <n v="237"/>
    <x v="947"/>
    <s v="112902003"/>
  </r>
  <r>
    <s v="190006364"/>
    <s v="SSR Enterprises (Pvt) Ltd"/>
    <x v="3"/>
    <x v="3"/>
    <s v="4227278639"/>
    <d v="2024-04-30T00:00:00"/>
    <n v="4"/>
    <x v="1"/>
    <n v="48882"/>
    <n v="48882"/>
    <n v="203"/>
    <x v="948"/>
    <s v="112902003"/>
  </r>
  <r>
    <s v="190006364"/>
    <s v="SSR Enterprises (Pvt) Ltd"/>
    <x v="3"/>
    <x v="3"/>
    <s v="4227278640"/>
    <d v="2024-04-30T00:00:00"/>
    <n v="4"/>
    <x v="1"/>
    <n v="19470"/>
    <n v="19470"/>
    <n v="203"/>
    <x v="949"/>
    <s v="112902003"/>
  </r>
  <r>
    <s v="190006364"/>
    <s v="SSR Enterprises (Pvt) Ltd"/>
    <x v="3"/>
    <x v="3"/>
    <s v="4227278641"/>
    <d v="2024-04-30T00:00:00"/>
    <n v="4"/>
    <x v="1"/>
    <n v="22302"/>
    <n v="22302"/>
    <n v="203"/>
    <x v="950"/>
    <s v="112902003"/>
  </r>
  <r>
    <s v="190006364"/>
    <s v="SSR Enterprises (Pvt) Ltd"/>
    <x v="3"/>
    <x v="3"/>
    <s v="4227282055"/>
    <d v="2024-05-30T00:00:00"/>
    <n v="5"/>
    <x v="1"/>
    <n v="22420"/>
    <n v="22420"/>
    <n v="173"/>
    <x v="951"/>
    <s v="112902003"/>
  </r>
  <r>
    <s v="190006364"/>
    <s v="SSR Enterprises (Pvt) Ltd"/>
    <x v="3"/>
    <x v="3"/>
    <s v="4227282056"/>
    <d v="2024-05-30T00:00:00"/>
    <n v="5"/>
    <x v="1"/>
    <n v="83778"/>
    <n v="14975"/>
    <n v="173"/>
    <x v="952"/>
    <s v="112902003"/>
  </r>
  <r>
    <s v="190006364"/>
    <s v="SSR Enterprises (Pvt) Ltd"/>
    <x v="3"/>
    <x v="3"/>
    <s v="4227283599"/>
    <d v="2024-06-12T00:00:00"/>
    <n v="6"/>
    <x v="1"/>
    <n v="95916"/>
    <n v="17872"/>
    <n v="160"/>
    <x v="953"/>
    <s v="112902003"/>
  </r>
  <r>
    <s v="190006364"/>
    <s v="SSR Enterprises (Pvt) Ltd"/>
    <x v="3"/>
    <x v="3"/>
    <s v="4227286144"/>
    <d v="2024-07-02T00:00:00"/>
    <n v="7"/>
    <x v="1"/>
    <n v="43967"/>
    <n v="43967"/>
    <n v="140"/>
    <x v="947"/>
    <s v="112902003"/>
  </r>
  <r>
    <s v="190006364"/>
    <s v="SSR Enterprises (Pvt) Ltd"/>
    <x v="3"/>
    <x v="3"/>
    <s v="4227286422"/>
    <d v="2024-07-05T00:00:00"/>
    <n v="7"/>
    <x v="1"/>
    <n v="24886"/>
    <n v="24886"/>
    <n v="137"/>
    <x v="954"/>
    <s v="112902003"/>
  </r>
  <r>
    <s v="190006364"/>
    <s v="SSR Enterprises (Pvt) Ltd"/>
    <x v="3"/>
    <x v="3"/>
    <s v="4227287386"/>
    <d v="2024-07-15T00:00:00"/>
    <n v="7"/>
    <x v="1"/>
    <n v="619999"/>
    <n v="619999"/>
    <n v="127"/>
    <x v="955"/>
    <s v="112902003"/>
  </r>
  <r>
    <s v="190006364"/>
    <s v="SSR Enterprises (Pvt) Ltd"/>
    <x v="3"/>
    <x v="3"/>
    <s v="4227287596"/>
    <d v="2024-07-16T00:00:00"/>
    <n v="7"/>
    <x v="1"/>
    <n v="40533"/>
    <n v="40533"/>
    <n v="126"/>
    <x v="956"/>
    <s v="112902003"/>
  </r>
  <r>
    <s v="190006364"/>
    <s v="SSR Enterprises (Pvt) Ltd"/>
    <x v="3"/>
    <x v="3"/>
    <s v="4227288308"/>
    <d v="2024-07-22T00:00:00"/>
    <n v="7"/>
    <x v="1"/>
    <n v="113280"/>
    <n v="68658"/>
    <n v="120"/>
    <x v="957"/>
    <s v="112902003"/>
  </r>
  <r>
    <s v="190006364"/>
    <s v="SSR Enterprises (Pvt) Ltd"/>
    <x v="3"/>
    <x v="3"/>
    <s v="4227293763"/>
    <d v="2024-08-27T00:00:00"/>
    <n v="8"/>
    <x v="1"/>
    <n v="60215"/>
    <n v="60215"/>
    <n v="84"/>
    <x v="3"/>
    <s v="112902003"/>
  </r>
  <r>
    <s v="190006364"/>
    <s v="SSR Enterprises (Pvt) Ltd"/>
    <x v="3"/>
    <x v="3"/>
    <s v="4227293765"/>
    <d v="2024-08-27T00:00:00"/>
    <n v="8"/>
    <x v="1"/>
    <n v="154875"/>
    <n v="154875"/>
    <n v="84"/>
    <x v="3"/>
    <s v="112902003"/>
  </r>
  <r>
    <s v="190006364"/>
    <s v="SSR Enterprises (Pvt) Ltd"/>
    <x v="3"/>
    <x v="3"/>
    <s v="4227293969"/>
    <d v="2024-08-28T00:00:00"/>
    <n v="8"/>
    <x v="1"/>
    <n v="48002"/>
    <n v="48002"/>
    <n v="83"/>
    <x v="3"/>
    <s v="112902003"/>
  </r>
  <r>
    <s v="190006364"/>
    <s v="SSR Enterprises (Pvt) Ltd"/>
    <x v="3"/>
    <x v="3"/>
    <s v="4227293980"/>
    <d v="2024-08-28T00:00:00"/>
    <n v="8"/>
    <x v="1"/>
    <n v="87934"/>
    <n v="87934"/>
    <n v="83"/>
    <x v="3"/>
    <s v="112902003"/>
  </r>
  <r>
    <s v="190006364"/>
    <s v="SSR Enterprises (Pvt) Ltd"/>
    <x v="3"/>
    <x v="3"/>
    <s v="4227295054"/>
    <d v="2024-08-31T00:00:00"/>
    <n v="8"/>
    <x v="1"/>
    <n v="62882"/>
    <n v="62882"/>
    <n v="80"/>
    <x v="3"/>
    <s v="112902003"/>
  </r>
  <r>
    <s v="190006364"/>
    <s v="SSR Enterprises (Pvt) Ltd"/>
    <x v="3"/>
    <x v="3"/>
    <s v="4227297222"/>
    <d v="2024-09-20T00:00:00"/>
    <n v="9"/>
    <x v="1"/>
    <n v="22656"/>
    <n v="22656"/>
    <n v="60"/>
    <x v="3"/>
    <s v="112902003"/>
  </r>
  <r>
    <s v="190006364"/>
    <s v="SSR Enterprises (Pvt) Ltd"/>
    <x v="3"/>
    <x v="3"/>
    <s v="4227297223"/>
    <d v="2024-09-20T00:00:00"/>
    <n v="9"/>
    <x v="1"/>
    <n v="47200"/>
    <n v="47200"/>
    <n v="60"/>
    <x v="3"/>
    <s v="112902003"/>
  </r>
  <r>
    <s v="190006364"/>
    <s v="SSR Enterprises (Pvt) Ltd"/>
    <x v="3"/>
    <x v="3"/>
    <s v="4227298390"/>
    <d v="2024-09-30T00:00:00"/>
    <n v="9"/>
    <x v="1"/>
    <n v="35400"/>
    <n v="35400"/>
    <n v="50"/>
    <x v="3"/>
    <s v="112902003"/>
  </r>
  <r>
    <s v="190006364"/>
    <s v="SSR Enterprises (Pvt) Ltd"/>
    <x v="3"/>
    <x v="3"/>
    <s v="4227298391"/>
    <d v="2024-09-30T00:00:00"/>
    <n v="9"/>
    <x v="1"/>
    <n v="279200"/>
    <n v="279200"/>
    <n v="50"/>
    <x v="3"/>
    <s v="112902003"/>
  </r>
  <r>
    <s v="190006364"/>
    <s v="SSR Enterprises (Pvt) Ltd"/>
    <x v="3"/>
    <x v="3"/>
    <s v="4227298764"/>
    <d v="2024-09-30T00:00:00"/>
    <n v="9"/>
    <x v="1"/>
    <n v="30444"/>
    <n v="30444"/>
    <n v="50"/>
    <x v="3"/>
    <s v="112902003"/>
  </r>
  <r>
    <s v="190006364"/>
    <s v="SSR Enterprises (Pvt) Ltd"/>
    <x v="3"/>
    <x v="3"/>
    <s v="4227299395"/>
    <d v="2024-10-04T00:00:00"/>
    <n v="10"/>
    <x v="1"/>
    <n v="55054"/>
    <n v="55054"/>
    <n v="46"/>
    <x v="3"/>
    <s v="112902003"/>
  </r>
  <r>
    <s v="190006364"/>
    <s v="SSR Enterprises (Pvt) Ltd"/>
    <x v="3"/>
    <x v="3"/>
    <s v="4227299491"/>
    <d v="2024-10-04T00:00:00"/>
    <n v="10"/>
    <x v="1"/>
    <n v="392350"/>
    <n v="392350"/>
    <n v="46"/>
    <x v="3"/>
    <s v="112902003"/>
  </r>
  <r>
    <s v="190006364"/>
    <s v="SSR Enterprises (Pvt) Ltd"/>
    <x v="3"/>
    <x v="3"/>
    <s v="4227299984"/>
    <d v="2024-10-09T00:00:00"/>
    <n v="10"/>
    <x v="1"/>
    <n v="67850"/>
    <n v="67850"/>
    <n v="41"/>
    <x v="3"/>
    <s v="112902003"/>
  </r>
  <r>
    <s v="190006364"/>
    <s v="SSR Enterprises (Pvt) Ltd"/>
    <x v="3"/>
    <x v="3"/>
    <s v="4227299985"/>
    <d v="2024-10-09T00:00:00"/>
    <n v="10"/>
    <x v="1"/>
    <n v="29736"/>
    <n v="29736"/>
    <n v="41"/>
    <x v="3"/>
    <s v="112902003"/>
  </r>
  <r>
    <s v="190006364"/>
    <s v="SSR Enterprises (Pvt) Ltd"/>
    <x v="3"/>
    <x v="3"/>
    <s v="4227300272"/>
    <d v="2024-10-11T00:00:00"/>
    <n v="10"/>
    <x v="1"/>
    <n v="166300"/>
    <n v="166300"/>
    <n v="39"/>
    <x v="3"/>
    <s v="112902003"/>
  </r>
  <r>
    <s v="190006364"/>
    <s v="SSR Enterprises (Pvt) Ltd"/>
    <x v="3"/>
    <x v="3"/>
    <s v="4227301901"/>
    <d v="2024-10-23T00:00:00"/>
    <n v="10"/>
    <x v="1"/>
    <n v="49806"/>
    <n v="49806"/>
    <n v="27"/>
    <x v="3"/>
    <s v="112902003"/>
  </r>
  <r>
    <s v="190006364"/>
    <s v="SSR Enterprises (Pvt) Ltd"/>
    <x v="3"/>
    <x v="3"/>
    <s v="4227303056"/>
    <d v="2024-10-29T00:00:00"/>
    <n v="10"/>
    <x v="1"/>
    <n v="130206"/>
    <n v="130206"/>
    <n v="21"/>
    <x v="3"/>
    <s v="112902003"/>
  </r>
  <r>
    <s v="190006364"/>
    <s v="SSR Enterprises (Pvt) Ltd"/>
    <x v="3"/>
    <x v="3"/>
    <s v="4227303057"/>
    <d v="2024-10-29T00:00:00"/>
    <n v="10"/>
    <x v="1"/>
    <n v="45796"/>
    <n v="45796"/>
    <n v="21"/>
    <x v="3"/>
    <s v="112902003"/>
  </r>
  <r>
    <s v="190006364"/>
    <s v="SSR Enterprises (Pvt) Ltd"/>
    <x v="3"/>
    <x v="3"/>
    <s v="4227303058"/>
    <d v="2024-10-29T00:00:00"/>
    <n v="10"/>
    <x v="1"/>
    <n v="10266"/>
    <n v="10266"/>
    <n v="21"/>
    <x v="3"/>
    <s v="112902003"/>
  </r>
  <r>
    <s v="190006364"/>
    <s v="SSR Enterprises (Pvt) Ltd"/>
    <x v="3"/>
    <x v="3"/>
    <s v="4227303998"/>
    <d v="2024-10-31T00:00:00"/>
    <n v="10"/>
    <x v="1"/>
    <n v="236000"/>
    <n v="236000"/>
    <n v="19"/>
    <x v="3"/>
    <s v="112902003"/>
  </r>
  <r>
    <s v="190008020"/>
    <s v="Jeniru Spares Centre"/>
    <x v="3"/>
    <x v="3"/>
    <s v="4227186248"/>
    <d v="2021-09-21T00:00:00"/>
    <n v="9"/>
    <x v="4"/>
    <n v="4860"/>
    <n v="4860"/>
    <n v="1155"/>
    <x v="958"/>
    <s v="0776274771"/>
  </r>
  <r>
    <s v="190008020"/>
    <s v="Jeniru Spares Centre"/>
    <x v="3"/>
    <x v="3"/>
    <s v="4227286230"/>
    <d v="2024-07-03T00:00:00"/>
    <n v="7"/>
    <x v="1"/>
    <n v="11328"/>
    <n v="11328"/>
    <n v="139"/>
    <x v="449"/>
    <s v="0776274771"/>
  </r>
  <r>
    <s v="190008020"/>
    <s v="Jeniru Spares Centre"/>
    <x v="3"/>
    <x v="3"/>
    <s v="4227290987"/>
    <d v="2024-08-05T00:00:00"/>
    <n v="8"/>
    <x v="1"/>
    <n v="4956"/>
    <n v="4956"/>
    <n v="106"/>
    <x v="959"/>
    <s v="0776274771"/>
  </r>
  <r>
    <s v="190008020"/>
    <s v="Jeniru Spares Centre"/>
    <x v="3"/>
    <x v="3"/>
    <s v="4227291582"/>
    <d v="2024-08-09T00:00:00"/>
    <n v="8"/>
    <x v="1"/>
    <n v="27258"/>
    <n v="27258"/>
    <n v="102"/>
    <x v="960"/>
    <s v="0776274771"/>
  </r>
  <r>
    <s v="190008020"/>
    <s v="Jeniru Spares Centre"/>
    <x v="3"/>
    <x v="3"/>
    <s v="4227292293"/>
    <d v="2024-08-15T00:00:00"/>
    <n v="8"/>
    <x v="1"/>
    <n v="15635"/>
    <n v="15635"/>
    <n v="96"/>
    <x v="961"/>
    <s v="0776274771"/>
  </r>
  <r>
    <s v="190008020"/>
    <s v="Jeniru Spares Centre"/>
    <x v="3"/>
    <x v="3"/>
    <s v="4227299974"/>
    <d v="2024-10-09T00:00:00"/>
    <n v="10"/>
    <x v="1"/>
    <n v="708"/>
    <n v="708"/>
    <n v="41"/>
    <x v="3"/>
    <s v="0776274771"/>
  </r>
  <r>
    <s v="190008243"/>
    <s v="V. S. D. Automoblie Engineering"/>
    <x v="3"/>
    <x v="3"/>
    <s v="4227289317"/>
    <d v="2024-07-26T00:00:00"/>
    <n v="7"/>
    <x v="1"/>
    <n v="15865"/>
    <n v="15865"/>
    <n v="116"/>
    <x v="962"/>
    <s v="0710321741"/>
  </r>
  <r>
    <s v="190008243"/>
    <s v="V. S. D. Automoblie Engineering"/>
    <x v="3"/>
    <x v="3"/>
    <s v="4227291368"/>
    <d v="2024-08-08T00:00:00"/>
    <n v="8"/>
    <x v="1"/>
    <n v="944"/>
    <n v="944"/>
    <n v="103"/>
    <x v="326"/>
    <s v="0710321741"/>
  </r>
  <r>
    <s v="190008457"/>
    <s v="Nishantha Auto Air Conditioning Eng"/>
    <x v="3"/>
    <x v="3"/>
    <s v="4227301754"/>
    <d v="2024-10-22T00:00:00"/>
    <n v="10"/>
    <x v="1"/>
    <n v="35046"/>
    <n v="35046"/>
    <n v="28"/>
    <x v="3"/>
    <s v="0112927273"/>
  </r>
  <r>
    <s v="190008457"/>
    <s v="Nishantha Auto Air Conditioning Eng"/>
    <x v="3"/>
    <x v="3"/>
    <s v="4227304239"/>
    <d v="2024-10-31T00:00:00"/>
    <n v="10"/>
    <x v="1"/>
    <n v="185850"/>
    <n v="185850"/>
    <n v="19"/>
    <x v="3"/>
    <s v="0112927273"/>
  </r>
  <r>
    <s v="190008572"/>
    <s v="B. I. T Auto Hybrid Engineering"/>
    <x v="3"/>
    <x v="3"/>
    <s v="4227278781"/>
    <d v="2024-04-30T00:00:00"/>
    <n v="4"/>
    <x v="1"/>
    <n v="17488"/>
    <n v="17488"/>
    <n v="203"/>
    <x v="963"/>
    <s v="0703791793"/>
  </r>
  <r>
    <s v="190008572"/>
    <s v="B. I. T Auto Hybrid Engineering"/>
    <x v="3"/>
    <x v="3"/>
    <s v="4227278782"/>
    <d v="2024-04-30T00:00:00"/>
    <n v="4"/>
    <x v="1"/>
    <n v="67059"/>
    <n v="48093"/>
    <n v="203"/>
    <x v="964"/>
    <s v="0703791793"/>
  </r>
  <r>
    <s v="190008572"/>
    <s v="B. I. T Auto Hybrid Engineering"/>
    <x v="3"/>
    <x v="3"/>
    <s v="4227282275"/>
    <d v="2024-05-31T00:00:00"/>
    <n v="5"/>
    <x v="1"/>
    <n v="32285"/>
    <n v="32285"/>
    <n v="172"/>
    <x v="334"/>
    <s v="0703791793"/>
  </r>
  <r>
    <s v="190008572"/>
    <s v="B. I. T Auto Hybrid Engineering"/>
    <x v="3"/>
    <x v="3"/>
    <s v="4227282363"/>
    <d v="2024-05-31T00:00:00"/>
    <n v="5"/>
    <x v="1"/>
    <n v="137635"/>
    <n v="137635"/>
    <n v="172"/>
    <x v="965"/>
    <s v="0703791793"/>
  </r>
  <r>
    <s v="190008573"/>
    <s v="Suranga Auto Engineering"/>
    <x v="3"/>
    <x v="3"/>
    <s v="4227095847"/>
    <d v="2019-02-28T00:00:00"/>
    <n v="2"/>
    <x v="5"/>
    <n v="24288"/>
    <n v="24288"/>
    <n v="2091"/>
    <x v="966"/>
    <s v="0332276239"/>
  </r>
  <r>
    <s v="190008573"/>
    <s v="Suranga Auto Engineering"/>
    <x v="3"/>
    <x v="3"/>
    <s v="4227281982"/>
    <d v="2024-05-30T00:00:00"/>
    <n v="5"/>
    <x v="1"/>
    <n v="46988"/>
    <n v="46988"/>
    <n v="173"/>
    <x v="967"/>
    <s v="0332276239"/>
  </r>
  <r>
    <s v="190008573"/>
    <s v="Suranga Auto Engineering"/>
    <x v="3"/>
    <x v="3"/>
    <s v="4227281983"/>
    <d v="2024-05-30T00:00:00"/>
    <n v="5"/>
    <x v="1"/>
    <n v="12390"/>
    <n v="12390"/>
    <n v="173"/>
    <x v="912"/>
    <s v="0332276239"/>
  </r>
  <r>
    <s v="190008573"/>
    <s v="Suranga Auto Engineering"/>
    <x v="3"/>
    <x v="3"/>
    <s v="4227288235"/>
    <d v="2024-07-22T00:00:00"/>
    <n v="7"/>
    <x v="1"/>
    <n v="50976"/>
    <n v="20976"/>
    <n v="120"/>
    <x v="968"/>
    <s v="0332276239"/>
  </r>
  <r>
    <s v="190008573"/>
    <s v="Suranga Auto Engineering"/>
    <x v="3"/>
    <x v="3"/>
    <s v="4227290265"/>
    <d v="2024-07-31T00:00:00"/>
    <n v="7"/>
    <x v="1"/>
    <n v="3717"/>
    <n v="3717"/>
    <n v="111"/>
    <x v="969"/>
    <s v="0332276239"/>
  </r>
  <r>
    <s v="190008573"/>
    <s v="Suranga Auto Engineering"/>
    <x v="3"/>
    <x v="3"/>
    <s v="4227297907"/>
    <d v="2024-09-26T00:00:00"/>
    <n v="9"/>
    <x v="1"/>
    <n v="4118"/>
    <n v="4118"/>
    <n v="54"/>
    <x v="3"/>
    <s v="0332276239"/>
  </r>
  <r>
    <s v="190008723"/>
    <s v="Sasmitha Auto Motives"/>
    <x v="3"/>
    <x v="3"/>
    <s v="4227282449"/>
    <d v="2024-05-31T00:00:00"/>
    <n v="5"/>
    <x v="1"/>
    <n v="43837"/>
    <n v="43837"/>
    <n v="172"/>
    <x v="970"/>
    <s v="0718745768"/>
  </r>
  <r>
    <s v="190008723"/>
    <s v="Sasmitha Auto Motives"/>
    <x v="3"/>
    <x v="3"/>
    <s v="4227282473"/>
    <d v="2024-05-31T00:00:00"/>
    <n v="5"/>
    <x v="1"/>
    <n v="3540"/>
    <n v="3540"/>
    <n v="172"/>
    <x v="971"/>
    <s v="0718745768"/>
  </r>
  <r>
    <s v="190010409"/>
    <s v="Eco Lubricants"/>
    <x v="3"/>
    <x v="3"/>
    <s v="4227301750"/>
    <d v="2024-10-22T00:00:00"/>
    <n v="10"/>
    <x v="1"/>
    <n v="32582"/>
    <n v="32582"/>
    <n v="28"/>
    <x v="3"/>
    <s v="0785166606"/>
  </r>
  <r>
    <s v="190010523"/>
    <s v="New Indigahamula Oil Mart"/>
    <x v="3"/>
    <x v="3"/>
    <s v="235784"/>
    <d v="2024-09-28T00:00:00"/>
    <n v="9"/>
    <x v="1"/>
    <n v="-10060"/>
    <n v="-10060"/>
    <n v="52"/>
    <x v="3"/>
    <s v="0786468169"/>
  </r>
  <r>
    <s v="190010523"/>
    <s v="New Indigahamula Oil Mart"/>
    <x v="3"/>
    <x v="3"/>
    <s v="4227280514"/>
    <d v="2024-05-14T00:00:00"/>
    <n v="5"/>
    <x v="1"/>
    <n v="126272"/>
    <n v="6272"/>
    <n v="189"/>
    <x v="972"/>
    <s v="0786468169"/>
  </r>
  <r>
    <s v="190010523"/>
    <s v="New Indigahamula Oil Mart"/>
    <x v="3"/>
    <x v="3"/>
    <s v="4227284513"/>
    <d v="2024-06-20T00:00:00"/>
    <n v="6"/>
    <x v="1"/>
    <n v="49772"/>
    <n v="2489"/>
    <n v="152"/>
    <x v="973"/>
    <s v="0786468169"/>
  </r>
  <r>
    <s v="190010523"/>
    <s v="New Indigahamula Oil Mart"/>
    <x v="3"/>
    <x v="3"/>
    <s v="4227289977"/>
    <d v="2024-07-31T00:00:00"/>
    <n v="7"/>
    <x v="1"/>
    <n v="24886"/>
    <n v="2489"/>
    <n v="111"/>
    <x v="973"/>
    <s v="0786468169"/>
  </r>
  <r>
    <s v="190010523"/>
    <s v="New Indigahamula Oil Mart"/>
    <x v="3"/>
    <x v="3"/>
    <s v="4227297232"/>
    <d v="2024-09-20T00:00:00"/>
    <n v="9"/>
    <x v="1"/>
    <n v="150310"/>
    <n v="17944"/>
    <n v="60"/>
    <x v="3"/>
    <s v="0786468169"/>
  </r>
  <r>
    <s v="190011319"/>
    <s v="New Kumara Auto Care Service"/>
    <x v="3"/>
    <x v="3"/>
    <s v=""/>
    <d v="2023-05-08T00:00:00"/>
    <n v="5"/>
    <x v="0"/>
    <n v="-6125"/>
    <n v="-6125"/>
    <n v="561"/>
    <x v="974"/>
    <s v="0711060109"/>
  </r>
  <r>
    <s v="190011319"/>
    <s v="New Kumara Auto Care Service"/>
    <x v="3"/>
    <x v="3"/>
    <s v="206816-000542"/>
    <d v="2023-10-31T00:00:00"/>
    <n v="10"/>
    <x v="0"/>
    <n v="-20121"/>
    <n v="-20121"/>
    <n v="385"/>
    <x v="975"/>
    <s v="0711060109"/>
  </r>
  <r>
    <s v="190011319"/>
    <s v="New Kumara Auto Care Service"/>
    <x v="3"/>
    <x v="3"/>
    <s v="227596 / 000805"/>
    <d v="2024-11-11T00:00:00"/>
    <n v="11"/>
    <x v="1"/>
    <n v="-94034"/>
    <n v="-94034"/>
    <n v="8"/>
    <x v="3"/>
    <s v="0711060109"/>
  </r>
  <r>
    <s v="190011319"/>
    <s v="New Kumara Auto Care Service"/>
    <x v="3"/>
    <x v="3"/>
    <s v="4227239684"/>
    <d v="2023-04-27T00:00:00"/>
    <n v="4"/>
    <x v="0"/>
    <n v="116382"/>
    <n v="20672"/>
    <n v="572"/>
    <x v="976"/>
    <s v="0711060109"/>
  </r>
  <r>
    <s v="190011319"/>
    <s v="New Kumara Auto Care Service"/>
    <x v="3"/>
    <x v="3"/>
    <s v="4227240930"/>
    <d v="2023-05-11T00:00:00"/>
    <n v="5"/>
    <x v="0"/>
    <n v="7245"/>
    <n v="7245"/>
    <n v="558"/>
    <x v="322"/>
    <s v="0711060109"/>
  </r>
  <r>
    <s v="190011319"/>
    <s v="New Kumara Auto Care Service"/>
    <x v="3"/>
    <x v="3"/>
    <s v="4227244098"/>
    <d v="2023-06-13T00:00:00"/>
    <n v="6"/>
    <x v="0"/>
    <n v="11023"/>
    <n v="11023"/>
    <n v="525"/>
    <x v="977"/>
    <s v="0711060109"/>
  </r>
  <r>
    <s v="190011319"/>
    <s v="New Kumara Auto Care Service"/>
    <x v="3"/>
    <x v="3"/>
    <s v="4227252138"/>
    <d v="2023-08-28T00:00:00"/>
    <n v="8"/>
    <x v="0"/>
    <n v="15341"/>
    <n v="15341"/>
    <n v="449"/>
    <x v="978"/>
    <s v="0711060109"/>
  </r>
  <r>
    <s v="190011319"/>
    <s v="New Kumara Auto Care Service"/>
    <x v="3"/>
    <x v="3"/>
    <s v="4227286508"/>
    <d v="2024-07-05T00:00:00"/>
    <n v="7"/>
    <x v="1"/>
    <n v="79118"/>
    <n v="79118"/>
    <n v="137"/>
    <x v="979"/>
    <s v="0711060109"/>
  </r>
  <r>
    <s v="190011319"/>
    <s v="New Kumara Auto Care Service"/>
    <x v="3"/>
    <x v="3"/>
    <s v="4227287278"/>
    <d v="2024-07-13T00:00:00"/>
    <n v="7"/>
    <x v="1"/>
    <n v="15718"/>
    <n v="15718"/>
    <n v="129"/>
    <x v="980"/>
    <s v="0711060109"/>
  </r>
  <r>
    <s v="190011319"/>
    <s v="New Kumara Auto Care Service"/>
    <x v="3"/>
    <x v="3"/>
    <s v="4227291120"/>
    <d v="2024-08-06T00:00:00"/>
    <n v="8"/>
    <x v="1"/>
    <n v="12443"/>
    <n v="12443"/>
    <n v="105"/>
    <x v="471"/>
    <s v="0711060109"/>
  </r>
  <r>
    <s v="190011319"/>
    <s v="New Kumara Auto Care Service"/>
    <x v="3"/>
    <x v="3"/>
    <s v="4227292264"/>
    <d v="2024-08-15T00:00:00"/>
    <n v="8"/>
    <x v="1"/>
    <n v="12443"/>
    <n v="12443"/>
    <n v="96"/>
    <x v="471"/>
    <s v="0711060109"/>
  </r>
  <r>
    <s v="190011319"/>
    <s v="New Kumara Auto Care Service"/>
    <x v="3"/>
    <x v="3"/>
    <s v="4227293120"/>
    <d v="2024-08-23T00:00:00"/>
    <n v="8"/>
    <x v="1"/>
    <n v="41857"/>
    <n v="41857"/>
    <n v="88"/>
    <x v="3"/>
    <s v="0711060109"/>
  </r>
  <r>
    <s v="190011319"/>
    <s v="New Kumara Auto Care Service"/>
    <x v="3"/>
    <x v="3"/>
    <s v="4227294377"/>
    <d v="2024-08-30T00:00:00"/>
    <n v="8"/>
    <x v="1"/>
    <n v="12443"/>
    <n v="12443"/>
    <n v="81"/>
    <x v="3"/>
    <s v="0711060109"/>
  </r>
  <r>
    <s v="190011319"/>
    <s v="New Kumara Auto Care Service"/>
    <x v="3"/>
    <x v="3"/>
    <s v="4227298654"/>
    <d v="2024-09-30T00:00:00"/>
    <n v="9"/>
    <x v="1"/>
    <n v="39754"/>
    <n v="39754"/>
    <n v="50"/>
    <x v="3"/>
    <s v="0711060109"/>
  </r>
  <r>
    <s v="190011319"/>
    <s v="New Kumara Auto Care Service"/>
    <x v="3"/>
    <x v="3"/>
    <s v="4227298655"/>
    <d v="2024-09-30T00:00:00"/>
    <n v="9"/>
    <x v="1"/>
    <n v="11328"/>
    <n v="11328"/>
    <n v="50"/>
    <x v="3"/>
    <s v="0711060109"/>
  </r>
  <r>
    <s v="190011319"/>
    <s v="New Kumara Auto Care Service"/>
    <x v="3"/>
    <x v="3"/>
    <s v="4227303061"/>
    <d v="2024-10-29T00:00:00"/>
    <n v="10"/>
    <x v="1"/>
    <n v="215791"/>
    <n v="215791"/>
    <n v="21"/>
    <x v="3"/>
    <s v="0711060109"/>
  </r>
  <r>
    <s v="190011319"/>
    <s v="New Kumara Auto Care Service"/>
    <x v="3"/>
    <x v="3"/>
    <s v="4227303148"/>
    <d v="2024-10-30T00:00:00"/>
    <n v="10"/>
    <x v="1"/>
    <n v="37329"/>
    <n v="37329"/>
    <n v="20"/>
    <x v="3"/>
    <s v="0711060109"/>
  </r>
  <r>
    <s v="190011338"/>
    <s v="Ishan Engineering"/>
    <x v="3"/>
    <x v="3"/>
    <s v="4227301384"/>
    <d v="2024-10-21T00:00:00"/>
    <n v="10"/>
    <x v="1"/>
    <n v="20178"/>
    <n v="20178"/>
    <n v="29"/>
    <x v="3"/>
    <s v="0770744533"/>
  </r>
  <r>
    <s v="190011874"/>
    <s v="Jayalath Motors"/>
    <x v="3"/>
    <x v="3"/>
    <s v="4227282330"/>
    <d v="2024-05-31T00:00:00"/>
    <n v="5"/>
    <x v="1"/>
    <n v="55224"/>
    <n v="11044"/>
    <n v="172"/>
    <x v="981"/>
    <s v="0778602829"/>
  </r>
  <r>
    <s v="190011970"/>
    <s v="Perera Enterprices"/>
    <x v="3"/>
    <x v="3"/>
    <s v="4227274851"/>
    <d v="2024-03-18T00:00:00"/>
    <n v="3"/>
    <x v="1"/>
    <n v="24886"/>
    <n v="1244"/>
    <n v="246"/>
    <x v="626"/>
    <s v="0117160250"/>
  </r>
  <r>
    <s v="190011970"/>
    <s v="Perera Enterprices"/>
    <x v="3"/>
    <x v="3"/>
    <s v="4227298020"/>
    <d v="2024-09-27T00:00:00"/>
    <n v="9"/>
    <x v="1"/>
    <n v="28320"/>
    <n v="28320"/>
    <n v="53"/>
    <x v="3"/>
    <s v="0117160250"/>
  </r>
  <r>
    <s v="190012317"/>
    <s v="Kado Auto Spares  (Private) Limited"/>
    <x v="3"/>
    <x v="3"/>
    <s v="187869"/>
    <d v="2022-10-03T00:00:00"/>
    <n v="10"/>
    <x v="6"/>
    <n v="-62973"/>
    <n v="-6251.14"/>
    <n v="778"/>
    <x v="982"/>
    <s v="0114353484"/>
  </r>
  <r>
    <s v="190012317"/>
    <s v="Kado Auto Spares  (Private) Limited"/>
    <x v="3"/>
    <x v="3"/>
    <s v="209174"/>
    <d v="2023-02-06T00:00:00"/>
    <n v="2"/>
    <x v="0"/>
    <n v="-4051"/>
    <n v="-4051"/>
    <n v="652"/>
    <x v="983"/>
    <s v="0114353484"/>
  </r>
  <r>
    <s v="190012317"/>
    <s v="Kado Auto Spares  (Private) Limited"/>
    <x v="3"/>
    <x v="3"/>
    <s v="212673"/>
    <d v="2023-11-29T00:00:00"/>
    <n v="11"/>
    <x v="0"/>
    <n v="-15586"/>
    <n v="-15586"/>
    <n v="356"/>
    <x v="984"/>
    <s v="0114353484"/>
  </r>
  <r>
    <s v="190012317"/>
    <s v="Kado Auto Spares  (Private) Limited"/>
    <x v="3"/>
    <x v="3"/>
    <s v="4227270660"/>
    <d v="2024-02-09T00:00:00"/>
    <n v="2"/>
    <x v="1"/>
    <n v="71272"/>
    <n v="67006"/>
    <n v="284"/>
    <x v="985"/>
    <s v="0114353484"/>
  </r>
  <r>
    <s v="190012317"/>
    <s v="Kado Auto Spares  (Private) Limited"/>
    <x v="3"/>
    <x v="3"/>
    <s v="4227271729"/>
    <d v="2024-02-20T00:00:00"/>
    <n v="2"/>
    <x v="1"/>
    <n v="93798"/>
    <n v="13242"/>
    <n v="273"/>
    <x v="986"/>
    <s v="0114353484"/>
  </r>
  <r>
    <s v="190012317"/>
    <s v="Kado Auto Spares  (Private) Limited"/>
    <x v="3"/>
    <x v="3"/>
    <s v="4227271730"/>
    <d v="2024-02-20T00:00:00"/>
    <n v="2"/>
    <x v="1"/>
    <n v="14455"/>
    <n v="14455"/>
    <n v="273"/>
    <x v="688"/>
    <s v="0114353484"/>
  </r>
  <r>
    <s v="190012317"/>
    <s v="Kado Auto Spares  (Private) Limited"/>
    <x v="3"/>
    <x v="3"/>
    <s v="4227271731"/>
    <d v="2024-02-20T00:00:00"/>
    <n v="2"/>
    <x v="1"/>
    <n v="19470"/>
    <n v="19470"/>
    <n v="273"/>
    <x v="949"/>
    <s v="0114353484"/>
  </r>
  <r>
    <s v="190012317"/>
    <s v="Kado Auto Spares  (Private) Limited"/>
    <x v="3"/>
    <x v="3"/>
    <s v="4227272173"/>
    <d v="2024-02-26T00:00:00"/>
    <n v="2"/>
    <x v="1"/>
    <n v="74547"/>
    <n v="74547"/>
    <n v="267"/>
    <x v="987"/>
    <s v="0114353484"/>
  </r>
  <r>
    <s v="190012317"/>
    <s v="Kado Auto Spares  (Private) Limited"/>
    <x v="3"/>
    <x v="3"/>
    <s v="4227272221"/>
    <d v="2024-02-26T00:00:00"/>
    <n v="2"/>
    <x v="1"/>
    <n v="5900"/>
    <n v="5900"/>
    <n v="267"/>
    <x v="988"/>
    <s v="0114353484"/>
  </r>
  <r>
    <s v="190012317"/>
    <s v="Kado Auto Spares  (Private) Limited"/>
    <x v="3"/>
    <x v="3"/>
    <s v="4227272245"/>
    <d v="2024-02-26T00:00:00"/>
    <n v="2"/>
    <x v="1"/>
    <n v="4160"/>
    <n v="4160"/>
    <n v="267"/>
    <x v="989"/>
    <s v="0114353484"/>
  </r>
  <r>
    <s v="190012317"/>
    <s v="Kado Auto Spares  (Private) Limited"/>
    <x v="3"/>
    <x v="3"/>
    <s v="4227272246"/>
    <d v="2024-02-26T00:00:00"/>
    <n v="2"/>
    <x v="1"/>
    <n v="8408"/>
    <n v="8408"/>
    <n v="267"/>
    <x v="990"/>
    <s v="0114353484"/>
  </r>
  <r>
    <s v="190012317"/>
    <s v="Kado Auto Spares  (Private) Limited"/>
    <x v="3"/>
    <x v="3"/>
    <s v="4227275997"/>
    <d v="2024-03-26T00:00:00"/>
    <n v="3"/>
    <x v="1"/>
    <n v="43724"/>
    <n v="43724"/>
    <n v="238"/>
    <x v="991"/>
    <s v="0114353484"/>
  </r>
  <r>
    <s v="190012317"/>
    <s v="Kado Auto Spares  (Private) Limited"/>
    <x v="3"/>
    <x v="3"/>
    <s v="4227276038"/>
    <d v="2024-03-27T00:00:00"/>
    <n v="3"/>
    <x v="1"/>
    <n v="21417"/>
    <n v="21417"/>
    <n v="237"/>
    <x v="992"/>
    <s v="0114353484"/>
  </r>
  <r>
    <s v="190012317"/>
    <s v="Kado Auto Spares  (Private) Limited"/>
    <x v="3"/>
    <x v="3"/>
    <s v="4227276039"/>
    <d v="2024-03-27T00:00:00"/>
    <n v="3"/>
    <x v="1"/>
    <n v="29028"/>
    <n v="29028"/>
    <n v="237"/>
    <x v="993"/>
    <s v="0114353484"/>
  </r>
  <r>
    <s v="190012317"/>
    <s v="Kado Auto Spares  (Private) Limited"/>
    <x v="3"/>
    <x v="3"/>
    <s v="4227276196"/>
    <d v="2024-03-27T00:00:00"/>
    <n v="3"/>
    <x v="1"/>
    <n v="20650"/>
    <n v="20650"/>
    <n v="237"/>
    <x v="994"/>
    <s v="0114353484"/>
  </r>
  <r>
    <s v="190012317"/>
    <s v="Kado Auto Spares  (Private) Limited"/>
    <x v="3"/>
    <x v="3"/>
    <s v="4227276422"/>
    <d v="2024-03-28T00:00:00"/>
    <n v="3"/>
    <x v="1"/>
    <n v="41291"/>
    <n v="41291"/>
    <n v="236"/>
    <x v="995"/>
    <s v="0114353484"/>
  </r>
  <r>
    <s v="190012317"/>
    <s v="Kado Auto Spares  (Private) Limited"/>
    <x v="3"/>
    <x v="3"/>
    <s v="4227278419"/>
    <d v="2024-04-29T00:00:00"/>
    <n v="4"/>
    <x v="1"/>
    <n v="5900"/>
    <n v="5900"/>
    <n v="204"/>
    <x v="988"/>
    <s v="0114353484"/>
  </r>
  <r>
    <s v="190012317"/>
    <s v="Kado Auto Spares  (Private) Limited"/>
    <x v="3"/>
    <x v="3"/>
    <s v="4227280340"/>
    <d v="2024-05-14T00:00:00"/>
    <n v="5"/>
    <x v="1"/>
    <n v="373"/>
    <n v="373"/>
    <n v="189"/>
    <x v="996"/>
    <s v="0114353484"/>
  </r>
  <r>
    <s v="190012317"/>
    <s v="Kado Auto Spares  (Private) Limited"/>
    <x v="3"/>
    <x v="3"/>
    <s v="4227281097"/>
    <d v="2024-05-20T00:00:00"/>
    <n v="5"/>
    <x v="1"/>
    <n v="255"/>
    <n v="255"/>
    <n v="183"/>
    <x v="997"/>
    <s v="0114353484"/>
  </r>
  <r>
    <s v="190012478"/>
    <s v="K. L. G. Trading (Pvt) Ltd"/>
    <x v="3"/>
    <x v="3"/>
    <s v="4227298194"/>
    <d v="2024-09-28T00:00:00"/>
    <n v="9"/>
    <x v="1"/>
    <n v="94872"/>
    <n v="94872"/>
    <n v="52"/>
    <x v="3"/>
    <s v="0762051300"/>
  </r>
  <r>
    <s v="190012798"/>
    <s v="Onara Auto Care"/>
    <x v="3"/>
    <x v="3"/>
    <s v="4227297238"/>
    <d v="2024-09-20T00:00:00"/>
    <n v="9"/>
    <x v="1"/>
    <n v="11523"/>
    <n v="11523"/>
    <n v="60"/>
    <x v="3"/>
    <s v="0713874062"/>
  </r>
  <r>
    <s v="190012898"/>
    <s v="Deshan Associates"/>
    <x v="3"/>
    <x v="3"/>
    <s v="4227247931"/>
    <d v="2023-07-19T00:00:00"/>
    <n v="7"/>
    <x v="0"/>
    <n v="92098"/>
    <n v="92098"/>
    <n v="489"/>
    <x v="998"/>
    <s v="0774249996"/>
  </r>
  <r>
    <s v="190012898"/>
    <s v="Deshan Associates"/>
    <x v="3"/>
    <x v="3"/>
    <s v="4227247966"/>
    <d v="2023-07-19T00:00:00"/>
    <n v="7"/>
    <x v="0"/>
    <n v="23604"/>
    <n v="23604"/>
    <n v="489"/>
    <x v="999"/>
    <s v="0774249996"/>
  </r>
  <r>
    <s v="190012898"/>
    <s v="Deshan Associates"/>
    <x v="3"/>
    <x v="3"/>
    <s v="4227250808"/>
    <d v="2023-08-16T00:00:00"/>
    <n v="8"/>
    <x v="0"/>
    <n v="42877"/>
    <n v="42877"/>
    <n v="461"/>
    <x v="1000"/>
    <s v="0774249996"/>
  </r>
  <r>
    <s v="190012920"/>
    <s v="Tech Masters"/>
    <x v="3"/>
    <x v="3"/>
    <s v="4227243878"/>
    <d v="2023-06-09T00:00:00"/>
    <n v="6"/>
    <x v="0"/>
    <n v="148819"/>
    <n v="69536"/>
    <n v="529"/>
    <x v="1001"/>
    <s v="0770244141"/>
  </r>
  <r>
    <s v="190012920"/>
    <s v="Tech Masters"/>
    <x v="3"/>
    <x v="3"/>
    <s v="4227247124"/>
    <d v="2023-07-11T00:00:00"/>
    <n v="7"/>
    <x v="0"/>
    <n v="31050"/>
    <n v="31050"/>
    <n v="497"/>
    <x v="1002"/>
    <s v="0770244141"/>
  </r>
  <r>
    <s v="190012920"/>
    <s v="Tech Masters"/>
    <x v="3"/>
    <x v="3"/>
    <s v="4227248126"/>
    <d v="2023-07-21T00:00:00"/>
    <n v="7"/>
    <x v="0"/>
    <n v="46000"/>
    <n v="46000"/>
    <n v="487"/>
    <x v="1003"/>
    <s v="0770244141"/>
  </r>
  <r>
    <s v="190012966"/>
    <s v="Rumesh Auto care"/>
    <x v="3"/>
    <x v="3"/>
    <s v="4227278704"/>
    <d v="2024-04-30T00:00:00"/>
    <n v="4"/>
    <x v="1"/>
    <n v="22066"/>
    <n v="22066"/>
    <n v="203"/>
    <x v="864"/>
    <s v="0112929255"/>
  </r>
  <r>
    <s v="190012966"/>
    <s v="Rumesh Auto care"/>
    <x v="3"/>
    <x v="3"/>
    <s v="4227291127"/>
    <d v="2024-08-06T00:00:00"/>
    <n v="8"/>
    <x v="1"/>
    <n v="56640"/>
    <n v="56640"/>
    <n v="105"/>
    <x v="330"/>
    <s v="0112929255"/>
  </r>
  <r>
    <s v="190013233"/>
    <s v="Rajitha Motors"/>
    <x v="3"/>
    <x v="3"/>
    <s v="4227262858"/>
    <d v="2023-11-27T00:00:00"/>
    <n v="11"/>
    <x v="0"/>
    <n v="5865"/>
    <n v="5865"/>
    <n v="358"/>
    <x v="1004"/>
    <s v="0332256109"/>
  </r>
  <r>
    <s v="190013512"/>
    <s v="Sesatha Auto Care"/>
    <x v="3"/>
    <x v="3"/>
    <s v="4227239859"/>
    <d v="2023-04-28T00:00:00"/>
    <n v="4"/>
    <x v="0"/>
    <n v="16100"/>
    <n v="2076"/>
    <n v="571"/>
    <x v="1005"/>
    <s v="0777316275"/>
  </r>
  <r>
    <s v="190013512"/>
    <s v="Sesatha Auto Care"/>
    <x v="3"/>
    <x v="3"/>
    <s v="4227241232"/>
    <d v="2023-05-15T00:00:00"/>
    <n v="5"/>
    <x v="0"/>
    <n v="17480"/>
    <n v="524"/>
    <n v="554"/>
    <x v="1006"/>
    <s v="0777316275"/>
  </r>
  <r>
    <s v="190013512"/>
    <s v="Sesatha Auto Care"/>
    <x v="3"/>
    <x v="3"/>
    <s v="4227249929"/>
    <d v="2023-08-08T00:00:00"/>
    <n v="8"/>
    <x v="0"/>
    <n v="53123"/>
    <n v="53123"/>
    <n v="469"/>
    <x v="1007"/>
    <s v="0777316275"/>
  </r>
  <r>
    <s v="190013512"/>
    <s v="Sesatha Auto Care"/>
    <x v="3"/>
    <x v="3"/>
    <s v="4227281796"/>
    <d v="2024-05-29T00:00:00"/>
    <n v="5"/>
    <x v="1"/>
    <n v="115168"/>
    <n v="115168"/>
    <n v="174"/>
    <x v="1008"/>
    <s v="0777316275"/>
  </r>
  <r>
    <s v="190013512"/>
    <s v="Sesatha Auto Care"/>
    <x v="3"/>
    <x v="3"/>
    <s v="5227014970"/>
    <d v="2024-05-21T00:00:00"/>
    <n v="5"/>
    <x v="1"/>
    <n v="-47278"/>
    <n v="-47278"/>
    <n v="182"/>
    <x v="1009"/>
    <s v="0777316275"/>
  </r>
  <r>
    <s v="190013544"/>
    <s v="Protec Automotive"/>
    <x v="3"/>
    <x v="3"/>
    <s v="209115/662005"/>
    <d v="2023-10-20T00:00:00"/>
    <n v="10"/>
    <x v="0"/>
    <n v="-999"/>
    <n v="-999"/>
    <n v="396"/>
    <x v="1010"/>
    <s v="0754478710"/>
  </r>
  <r>
    <s v="190013544"/>
    <s v="Protec Automotive"/>
    <x v="3"/>
    <x v="3"/>
    <s v="4227255383"/>
    <d v="2023-09-23T00:00:00"/>
    <n v="9"/>
    <x v="0"/>
    <n v="83797"/>
    <n v="50000"/>
    <n v="423"/>
    <x v="38"/>
    <s v="0754478710"/>
  </r>
  <r>
    <s v="190013544"/>
    <s v="Protec Automotive"/>
    <x v="3"/>
    <x v="3"/>
    <s v="4227256244"/>
    <d v="2023-09-30T00:00:00"/>
    <n v="9"/>
    <x v="0"/>
    <n v="156285"/>
    <n v="156285"/>
    <n v="416"/>
    <x v="1011"/>
    <s v="0754478710"/>
  </r>
  <r>
    <s v="190013544"/>
    <s v="Protec Automotive"/>
    <x v="3"/>
    <x v="3"/>
    <s v="4227259245"/>
    <d v="2023-10-26T00:00:00"/>
    <n v="10"/>
    <x v="0"/>
    <n v="132250"/>
    <n v="91152"/>
    <n v="390"/>
    <x v="1012"/>
    <s v="0754478710"/>
  </r>
  <r>
    <s v="190013544"/>
    <s v="Protec Automotive"/>
    <x v="3"/>
    <x v="3"/>
    <s v="4227259326"/>
    <d v="2023-10-26T00:00:00"/>
    <n v="10"/>
    <x v="0"/>
    <n v="108848"/>
    <n v="108848"/>
    <n v="390"/>
    <x v="1013"/>
    <s v="0754478710"/>
  </r>
  <r>
    <s v="190013544"/>
    <s v="Protec Automotive"/>
    <x v="3"/>
    <x v="3"/>
    <s v="4227270718"/>
    <d v="2024-02-10T00:00:00"/>
    <n v="2"/>
    <x v="1"/>
    <n v="45632"/>
    <n v="45632"/>
    <n v="283"/>
    <x v="1014"/>
    <s v="0754478710"/>
  </r>
  <r>
    <s v="190013544"/>
    <s v="Protec Automotive"/>
    <x v="3"/>
    <x v="3"/>
    <s v="4227271567"/>
    <d v="2024-02-20T00:00:00"/>
    <n v="2"/>
    <x v="1"/>
    <n v="66507"/>
    <n v="66507"/>
    <n v="273"/>
    <x v="1015"/>
    <s v="0754478710"/>
  </r>
  <r>
    <s v="190013544"/>
    <s v="Protec Automotive"/>
    <x v="3"/>
    <x v="3"/>
    <s v="4227271568"/>
    <d v="2024-02-20T00:00:00"/>
    <n v="2"/>
    <x v="1"/>
    <n v="84075"/>
    <n v="84075"/>
    <n v="273"/>
    <x v="1016"/>
    <s v="0754478710"/>
  </r>
  <r>
    <s v="190013544"/>
    <s v="Protec Automotive"/>
    <x v="3"/>
    <x v="3"/>
    <s v="4227275111"/>
    <d v="2024-03-20T00:00:00"/>
    <n v="3"/>
    <x v="1"/>
    <n v="24220"/>
    <n v="24220"/>
    <n v="244"/>
    <x v="1017"/>
    <s v="0754478710"/>
  </r>
  <r>
    <s v="190013567"/>
    <s v="Caravan E25 Kollo"/>
    <x v="3"/>
    <x v="3"/>
    <s v="4227293117"/>
    <d v="2024-08-23T00:00:00"/>
    <n v="8"/>
    <x v="1"/>
    <n v="61242"/>
    <n v="61242"/>
    <n v="88"/>
    <x v="3"/>
    <s v="0712509393"/>
  </r>
  <r>
    <s v="190013567"/>
    <s v="Caravan E25 Kollo"/>
    <x v="3"/>
    <x v="3"/>
    <s v="4227293917"/>
    <d v="2024-08-28T00:00:00"/>
    <n v="8"/>
    <x v="1"/>
    <n v="39294"/>
    <n v="39294"/>
    <n v="83"/>
    <x v="3"/>
    <s v="0712509393"/>
  </r>
  <r>
    <s v="190013567"/>
    <s v="Caravan E25 Kollo"/>
    <x v="3"/>
    <x v="3"/>
    <s v="4227294672"/>
    <d v="2024-08-30T00:00:00"/>
    <n v="8"/>
    <x v="1"/>
    <n v="37329"/>
    <n v="37329"/>
    <n v="81"/>
    <x v="3"/>
    <s v="0712509393"/>
  </r>
  <r>
    <s v="190013567"/>
    <s v="Caravan E25 Kollo"/>
    <x v="3"/>
    <x v="3"/>
    <s v="4227298657"/>
    <d v="2024-09-30T00:00:00"/>
    <n v="9"/>
    <x v="1"/>
    <n v="48657"/>
    <n v="48657"/>
    <n v="50"/>
    <x v="3"/>
    <s v="0712509393"/>
  </r>
  <r>
    <s v="190013577"/>
    <s v="Modify Kollo"/>
    <x v="3"/>
    <x v="3"/>
    <s v="4227269196"/>
    <d v="2024-01-26T00:00:00"/>
    <n v="1"/>
    <x v="1"/>
    <n v="63375"/>
    <n v="25972"/>
    <n v="298"/>
    <x v="1018"/>
    <s v="0754005532"/>
  </r>
  <r>
    <s v="190013577"/>
    <s v="Modify Kollo"/>
    <x v="3"/>
    <x v="3"/>
    <s v="4227269197"/>
    <d v="2024-01-26T00:00:00"/>
    <n v="1"/>
    <x v="1"/>
    <n v="61896"/>
    <n v="61896"/>
    <n v="298"/>
    <x v="1019"/>
    <s v="0754005532"/>
  </r>
  <r>
    <s v="190013577"/>
    <s v="Modify Kollo"/>
    <x v="3"/>
    <x v="3"/>
    <s v="4227270054"/>
    <d v="2024-02-02T00:00:00"/>
    <n v="2"/>
    <x v="1"/>
    <n v="78475"/>
    <n v="78475"/>
    <n v="291"/>
    <x v="1020"/>
    <s v="0754005532"/>
  </r>
  <r>
    <s v="190013577"/>
    <s v="Modify Kollo"/>
    <x v="3"/>
    <x v="3"/>
    <s v="4227270393"/>
    <d v="2024-02-07T00:00:00"/>
    <n v="2"/>
    <x v="1"/>
    <n v="78475"/>
    <n v="78475"/>
    <n v="286"/>
    <x v="1020"/>
    <s v="0754005532"/>
  </r>
  <r>
    <s v="190013577"/>
    <s v="Modify Kollo"/>
    <x v="3"/>
    <x v="3"/>
    <s v="4227274669"/>
    <d v="2024-03-15T00:00:00"/>
    <n v="3"/>
    <x v="1"/>
    <n v="35437"/>
    <n v="35437"/>
    <n v="249"/>
    <x v="1021"/>
    <s v="0754005532"/>
  </r>
  <r>
    <s v="190013577"/>
    <s v="Modify Kollo"/>
    <x v="3"/>
    <x v="3"/>
    <s v="4227275245"/>
    <d v="2024-03-21T00:00:00"/>
    <n v="3"/>
    <x v="1"/>
    <n v="8083"/>
    <n v="8083"/>
    <n v="243"/>
    <x v="1022"/>
    <s v="0754005532"/>
  </r>
  <r>
    <s v="190013577"/>
    <s v="Modify Kollo"/>
    <x v="3"/>
    <x v="3"/>
    <s v="4227275246"/>
    <d v="2024-03-21T00:00:00"/>
    <n v="3"/>
    <x v="1"/>
    <n v="15529"/>
    <n v="15529"/>
    <n v="243"/>
    <x v="1023"/>
    <s v="0754005532"/>
  </r>
  <r>
    <s v="190013577"/>
    <s v="Modify Kollo"/>
    <x v="3"/>
    <x v="3"/>
    <s v="4227276074"/>
    <d v="2024-03-27T00:00:00"/>
    <n v="3"/>
    <x v="1"/>
    <n v="43967"/>
    <n v="43967"/>
    <n v="237"/>
    <x v="947"/>
    <s v="0754005532"/>
  </r>
  <r>
    <s v="190013577"/>
    <s v="Modify Kollo"/>
    <x v="3"/>
    <x v="3"/>
    <s v="4227278394"/>
    <d v="2024-04-29T00:00:00"/>
    <n v="4"/>
    <x v="1"/>
    <n v="590"/>
    <n v="590"/>
    <n v="204"/>
    <x v="1024"/>
    <s v="0754005532"/>
  </r>
  <r>
    <s v="190013577"/>
    <s v="Modify Kollo"/>
    <x v="3"/>
    <x v="3"/>
    <s v="4227278417"/>
    <d v="2024-04-29T00:00:00"/>
    <n v="4"/>
    <x v="1"/>
    <n v="236"/>
    <n v="236"/>
    <n v="204"/>
    <x v="1025"/>
    <s v="0754005532"/>
  </r>
  <r>
    <s v="190013577"/>
    <s v="Modify Kollo"/>
    <x v="3"/>
    <x v="3"/>
    <s v="4227278784"/>
    <d v="2024-04-30T00:00:00"/>
    <n v="4"/>
    <x v="1"/>
    <n v="57702"/>
    <n v="57702"/>
    <n v="203"/>
    <x v="1026"/>
    <s v="0754005532"/>
  </r>
  <r>
    <s v="190013577"/>
    <s v="Modify Kollo"/>
    <x v="3"/>
    <x v="3"/>
    <s v="4227279035"/>
    <d v="2024-05-03T00:00:00"/>
    <n v="5"/>
    <x v="1"/>
    <n v="437"/>
    <n v="437"/>
    <n v="200"/>
    <x v="1027"/>
    <s v="0754005532"/>
  </r>
  <r>
    <s v="190013605"/>
    <s v="Lasantha Auto Motive Depot"/>
    <x v="3"/>
    <x v="3"/>
    <s v="4227246874"/>
    <d v="2023-07-07T00:00:00"/>
    <n v="7"/>
    <x v="0"/>
    <n v="124200"/>
    <n v="124200"/>
    <n v="501"/>
    <x v="1028"/>
    <s v="0776993917"/>
  </r>
  <r>
    <s v="190013605"/>
    <s v="Lasantha Auto Motive Depot"/>
    <x v="3"/>
    <x v="3"/>
    <s v="4227247208"/>
    <d v="2023-07-12T00:00:00"/>
    <n v="7"/>
    <x v="0"/>
    <n v="35190"/>
    <n v="35190"/>
    <n v="496"/>
    <x v="1029"/>
    <s v="0776993917"/>
  </r>
  <r>
    <s v="190013662"/>
    <s v="AUTO RESET (PVT) LTD"/>
    <x v="3"/>
    <x v="3"/>
    <s v="4227303249"/>
    <d v="2024-10-30T00:00:00"/>
    <n v="10"/>
    <x v="1"/>
    <n v="43896"/>
    <n v="43896"/>
    <n v="20"/>
    <x v="3"/>
    <s v="076 4638403"/>
  </r>
  <r>
    <s v="190013828"/>
    <s v="Omicron Automobile Engineering (Pvt"/>
    <x v="3"/>
    <x v="3"/>
    <s v="4227250306"/>
    <d v="2023-08-11T00:00:00"/>
    <n v="8"/>
    <x v="0"/>
    <n v="26110"/>
    <n v="10000"/>
    <n v="466"/>
    <x v="1030"/>
    <s v="0714355681"/>
  </r>
  <r>
    <s v="190013828"/>
    <s v="Omicron Automobile Engineering (Pvt"/>
    <x v="3"/>
    <x v="3"/>
    <s v="4227269889"/>
    <d v="2024-01-31T00:00:00"/>
    <n v="1"/>
    <x v="1"/>
    <n v="50976"/>
    <n v="35976"/>
    <n v="293"/>
    <x v="1031"/>
    <s v="0714355681"/>
  </r>
  <r>
    <s v="190013828"/>
    <s v="Omicron Automobile Engineering (Pvt"/>
    <x v="3"/>
    <x v="3"/>
    <s v="4227293121"/>
    <d v="2024-08-23T00:00:00"/>
    <n v="8"/>
    <x v="1"/>
    <n v="28320"/>
    <n v="8320"/>
    <n v="88"/>
    <x v="3"/>
    <s v="0714355681"/>
  </r>
  <r>
    <s v="190013828"/>
    <s v="Omicron Automobile Engineering (Pvt"/>
    <x v="3"/>
    <x v="3"/>
    <s v="4227293122"/>
    <d v="2024-08-23T00:00:00"/>
    <n v="8"/>
    <x v="1"/>
    <n v="6254"/>
    <n v="6254"/>
    <n v="88"/>
    <x v="3"/>
    <s v="0714355681"/>
  </r>
  <r>
    <s v="190013840"/>
    <s v="M P Auto Parts"/>
    <x v="3"/>
    <x v="3"/>
    <s v="4227272870"/>
    <d v="2024-02-29T00:00:00"/>
    <n v="2"/>
    <x v="1"/>
    <n v="193520"/>
    <n v="193520"/>
    <n v="264"/>
    <x v="1032"/>
    <s v="0774400404"/>
  </r>
  <r>
    <s v="190013840"/>
    <s v="M P Auto Parts"/>
    <x v="3"/>
    <x v="3"/>
    <s v="4227275558"/>
    <d v="2024-03-22T00:00:00"/>
    <n v="3"/>
    <x v="1"/>
    <n v="245580"/>
    <n v="580"/>
    <n v="242"/>
    <x v="1033"/>
    <s v="0774400404"/>
  </r>
  <r>
    <s v="190013840"/>
    <s v="M P Auto Parts"/>
    <x v="3"/>
    <x v="3"/>
    <s v="4227282070"/>
    <d v="2024-05-30T00:00:00"/>
    <n v="5"/>
    <x v="1"/>
    <n v="158285"/>
    <n v="68285"/>
    <n v="173"/>
    <x v="1034"/>
    <s v="0774400404"/>
  </r>
  <r>
    <s v="190013840"/>
    <s v="M P Auto Parts"/>
    <x v="3"/>
    <x v="3"/>
    <s v="4227282071"/>
    <d v="2024-05-30T00:00:00"/>
    <n v="5"/>
    <x v="1"/>
    <n v="134180"/>
    <n v="101160"/>
    <n v="173"/>
    <x v="1035"/>
    <s v="0774400404"/>
  </r>
  <r>
    <s v="190013840"/>
    <s v="M P Auto Parts"/>
    <x v="3"/>
    <x v="3"/>
    <s v="4227283602"/>
    <d v="2024-06-12T00:00:00"/>
    <n v="6"/>
    <x v="1"/>
    <n v="14160"/>
    <n v="14160"/>
    <n v="160"/>
    <x v="406"/>
    <s v="0774400404"/>
  </r>
  <r>
    <s v="190013840"/>
    <s v="M P Auto Parts"/>
    <x v="3"/>
    <x v="3"/>
    <s v="4227292266"/>
    <d v="2024-08-15T00:00:00"/>
    <n v="8"/>
    <x v="1"/>
    <n v="11328"/>
    <n v="11328"/>
    <n v="96"/>
    <x v="449"/>
    <s v="0774400404"/>
  </r>
  <r>
    <s v="190013840"/>
    <s v="M P Auto Parts"/>
    <x v="3"/>
    <x v="3"/>
    <s v="4227292267"/>
    <d v="2024-08-15T00:00:00"/>
    <n v="8"/>
    <x v="1"/>
    <n v="22656"/>
    <n v="22656"/>
    <n v="96"/>
    <x v="1036"/>
    <s v="0774400404"/>
  </r>
  <r>
    <s v="190013840"/>
    <s v="M P Auto Parts"/>
    <x v="3"/>
    <x v="3"/>
    <s v="4227292380"/>
    <d v="2024-08-16T00:00:00"/>
    <n v="8"/>
    <x v="1"/>
    <n v="203267"/>
    <n v="203267"/>
    <n v="95"/>
    <x v="1037"/>
    <s v="0774400404"/>
  </r>
  <r>
    <s v="190013840"/>
    <s v="M P Auto Parts"/>
    <x v="3"/>
    <x v="3"/>
    <s v="4227297247"/>
    <d v="2024-09-20T00:00:00"/>
    <n v="9"/>
    <x v="1"/>
    <n v="89987"/>
    <n v="89987"/>
    <n v="60"/>
    <x v="3"/>
    <s v="0774400404"/>
  </r>
  <r>
    <s v="190013840"/>
    <s v="M P Auto Parts"/>
    <x v="3"/>
    <x v="3"/>
    <s v="4227303180"/>
    <d v="2024-10-30T00:00:00"/>
    <n v="10"/>
    <x v="1"/>
    <n v="205509"/>
    <n v="205509"/>
    <n v="20"/>
    <x v="3"/>
    <s v="0774400404"/>
  </r>
  <r>
    <s v="190013843"/>
    <s v="Mr. Mechanic"/>
    <x v="3"/>
    <x v="3"/>
    <s v="4227252216"/>
    <d v="2023-08-29T00:00:00"/>
    <n v="8"/>
    <x v="0"/>
    <n v="93649"/>
    <n v="43649"/>
    <n v="448"/>
    <x v="1038"/>
    <s v="0715468866"/>
  </r>
  <r>
    <s v="190013843"/>
    <s v="Mr. Mechanic"/>
    <x v="3"/>
    <x v="3"/>
    <s v="4227254151"/>
    <d v="2023-09-13T00:00:00"/>
    <n v="9"/>
    <x v="0"/>
    <n v="4416"/>
    <n v="4416"/>
    <n v="433"/>
    <x v="1039"/>
    <s v="0715468866"/>
  </r>
  <r>
    <s v="190013843"/>
    <s v="Mr. Mechanic"/>
    <x v="3"/>
    <x v="3"/>
    <s v="4227254255"/>
    <d v="2023-09-14T00:00:00"/>
    <n v="9"/>
    <x v="0"/>
    <n v="6624"/>
    <n v="6624"/>
    <n v="432"/>
    <x v="1040"/>
    <s v="0715468866"/>
  </r>
  <r>
    <s v="190013907"/>
    <s v="C. R. Motors"/>
    <x v="3"/>
    <x v="3"/>
    <s v="232954"/>
    <d v="2024-08-23T00:00:00"/>
    <n v="8"/>
    <x v="1"/>
    <n v="-5000"/>
    <n v="-5000"/>
    <n v="88"/>
    <x v="3"/>
    <s v="0774754899"/>
  </r>
  <r>
    <s v="190013907"/>
    <s v="C. R. Motors"/>
    <x v="3"/>
    <x v="3"/>
    <s v="4227253751"/>
    <d v="2023-09-09T00:00:00"/>
    <n v="9"/>
    <x v="0"/>
    <n v="46920"/>
    <n v="17920"/>
    <n v="437"/>
    <x v="1041"/>
    <s v="0774754899"/>
  </r>
  <r>
    <s v="190013907"/>
    <s v="C. R. Motors"/>
    <x v="3"/>
    <x v="3"/>
    <s v="4227276587"/>
    <d v="2024-03-28T00:00:00"/>
    <n v="3"/>
    <x v="1"/>
    <n v="15293"/>
    <n v="15293"/>
    <n v="236"/>
    <x v="1042"/>
    <s v="0774754899"/>
  </r>
  <r>
    <s v="190013907"/>
    <s v="C. R. Motors"/>
    <x v="3"/>
    <x v="3"/>
    <s v="4227293119"/>
    <d v="2024-08-23T00:00:00"/>
    <n v="8"/>
    <x v="1"/>
    <n v="38232"/>
    <n v="38232"/>
    <n v="88"/>
    <x v="3"/>
    <s v="0774754899"/>
  </r>
  <r>
    <s v="190013917"/>
    <s v="Rathnayake Auto Works"/>
    <x v="3"/>
    <x v="3"/>
    <s v="4227253728"/>
    <d v="2023-09-09T00:00:00"/>
    <n v="9"/>
    <x v="0"/>
    <n v="16910"/>
    <n v="13910"/>
    <n v="437"/>
    <x v="1043"/>
    <s v="0751601014"/>
  </r>
  <r>
    <s v="190013917"/>
    <s v="Rathnayake Auto Works"/>
    <x v="3"/>
    <x v="3"/>
    <s v="4227276075"/>
    <d v="2024-03-27T00:00:00"/>
    <n v="3"/>
    <x v="1"/>
    <n v="26265"/>
    <n v="26265"/>
    <n v="237"/>
    <x v="1044"/>
    <s v="0751601014"/>
  </r>
  <r>
    <s v="190013918"/>
    <s v="L. R. S. Motors"/>
    <x v="3"/>
    <x v="3"/>
    <s v="4227294924"/>
    <d v="2024-08-31T00:00:00"/>
    <n v="8"/>
    <x v="1"/>
    <n v="73101"/>
    <n v="1"/>
    <n v="80"/>
    <x v="3"/>
    <s v="0779920194"/>
  </r>
  <r>
    <s v="190013918"/>
    <s v="L. R. S. Motors"/>
    <x v="3"/>
    <x v="3"/>
    <s v="4227303181"/>
    <d v="2024-10-30T00:00:00"/>
    <n v="10"/>
    <x v="1"/>
    <n v="7434"/>
    <n v="7434"/>
    <n v="20"/>
    <x v="3"/>
    <s v="0779920194"/>
  </r>
  <r>
    <s v="190013919"/>
    <s v="Charith Motors"/>
    <x v="3"/>
    <x v="3"/>
    <s v="4227253738"/>
    <d v="2023-09-09T00:00:00"/>
    <n v="9"/>
    <x v="0"/>
    <n v="13915"/>
    <n v="10915"/>
    <n v="437"/>
    <x v="79"/>
    <s v="0711074194"/>
  </r>
  <r>
    <s v="190013923"/>
    <s v="Micro Auto Engineering"/>
    <x v="3"/>
    <x v="3"/>
    <s v="4227276702"/>
    <d v="2024-03-28T00:00:00"/>
    <n v="3"/>
    <x v="1"/>
    <n v="2970"/>
    <n v="2970"/>
    <n v="236"/>
    <x v="1045"/>
    <s v="0715594386"/>
  </r>
  <r>
    <s v="190013923"/>
    <s v="Micro Auto Engineering"/>
    <x v="3"/>
    <x v="3"/>
    <s v="4227277782"/>
    <d v="2024-04-20T00:00:00"/>
    <n v="4"/>
    <x v="1"/>
    <n v="3127"/>
    <n v="3127"/>
    <n v="213"/>
    <x v="1046"/>
    <s v="0715594386"/>
  </r>
  <r>
    <s v="190013993"/>
    <s v="D G M Auto Tech"/>
    <x v="3"/>
    <x v="3"/>
    <s v="4227254789"/>
    <d v="2023-09-19T00:00:00"/>
    <n v="9"/>
    <x v="0"/>
    <n v="30728"/>
    <n v="15728"/>
    <n v="427"/>
    <x v="1047"/>
    <s v="0712350776"/>
  </r>
  <r>
    <s v="190013993"/>
    <s v="D G M Auto Tech"/>
    <x v="3"/>
    <x v="3"/>
    <s v="4227258490"/>
    <d v="2023-10-18T00:00:00"/>
    <n v="10"/>
    <x v="0"/>
    <n v="460"/>
    <n v="460"/>
    <n v="398"/>
    <x v="1048"/>
    <s v="0712350776"/>
  </r>
  <r>
    <s v="190013993"/>
    <s v="D G M Auto Tech"/>
    <x v="3"/>
    <x v="3"/>
    <s v="4227296523"/>
    <d v="2024-09-14T00:00:00"/>
    <n v="9"/>
    <x v="1"/>
    <n v="14868"/>
    <n v="14868"/>
    <n v="66"/>
    <x v="3"/>
    <s v="0712350776"/>
  </r>
  <r>
    <s v="190013993"/>
    <s v="D G M Auto Tech"/>
    <x v="3"/>
    <x v="3"/>
    <s v="4227296656"/>
    <d v="2024-09-18T00:00:00"/>
    <n v="9"/>
    <x v="1"/>
    <n v="2360"/>
    <n v="2360"/>
    <n v="62"/>
    <x v="3"/>
    <s v="0712350776"/>
  </r>
  <r>
    <s v="190013993"/>
    <s v="D G M Auto Tech"/>
    <x v="3"/>
    <x v="3"/>
    <s v="5227015633"/>
    <d v="2024-09-18T00:00:00"/>
    <n v="9"/>
    <x v="1"/>
    <n v="-12938"/>
    <n v="-12938"/>
    <n v="62"/>
    <x v="3"/>
    <s v="0712350776"/>
  </r>
  <r>
    <s v="190013998"/>
    <s v="Mr. Hybrid"/>
    <x v="3"/>
    <x v="3"/>
    <s v="4227263228"/>
    <d v="2023-11-30T00:00:00"/>
    <n v="11"/>
    <x v="0"/>
    <n v="57443"/>
    <n v="57443"/>
    <n v="355"/>
    <x v="1049"/>
    <s v="0774466130"/>
  </r>
  <r>
    <s v="190013998"/>
    <s v="Mr. Hybrid"/>
    <x v="3"/>
    <x v="3"/>
    <s v="4227263279"/>
    <d v="2023-11-30T00:00:00"/>
    <n v="11"/>
    <x v="0"/>
    <n v="154078"/>
    <n v="154078"/>
    <n v="355"/>
    <x v="1050"/>
    <s v="0774466130"/>
  </r>
  <r>
    <s v="190013998"/>
    <s v="Mr. Hybrid"/>
    <x v="3"/>
    <x v="3"/>
    <s v="4227269905"/>
    <d v="2024-01-31T00:00:00"/>
    <n v="1"/>
    <x v="1"/>
    <n v="92500"/>
    <n v="92500"/>
    <n v="293"/>
    <x v="1051"/>
    <s v="0774466130"/>
  </r>
  <r>
    <s v="190013998"/>
    <s v="Mr. Hybrid"/>
    <x v="3"/>
    <x v="3"/>
    <s v="4227273921"/>
    <d v="2024-03-08T00:00:00"/>
    <n v="3"/>
    <x v="1"/>
    <n v="119888"/>
    <n v="119888"/>
    <n v="256"/>
    <x v="1052"/>
    <s v="0774466130"/>
  </r>
  <r>
    <s v="190013998"/>
    <s v="Mr. Hybrid"/>
    <x v="3"/>
    <x v="3"/>
    <s v="4227273924"/>
    <d v="2024-03-08T00:00:00"/>
    <n v="3"/>
    <x v="1"/>
    <n v="90022"/>
    <n v="90022"/>
    <n v="256"/>
    <x v="1053"/>
    <s v="0774466130"/>
  </r>
  <r>
    <s v="190013998"/>
    <s v="Mr. Hybrid"/>
    <x v="3"/>
    <x v="3"/>
    <s v="4227276034"/>
    <d v="2024-03-27T00:00:00"/>
    <n v="3"/>
    <x v="1"/>
    <n v="6608"/>
    <n v="6608"/>
    <n v="237"/>
    <x v="684"/>
    <s v="0774466130"/>
  </r>
  <r>
    <s v="190013998"/>
    <s v="Mr. Hybrid"/>
    <x v="3"/>
    <x v="3"/>
    <s v="4227276035"/>
    <d v="2024-03-27T00:00:00"/>
    <n v="3"/>
    <x v="1"/>
    <n v="3776"/>
    <n v="3776"/>
    <n v="237"/>
    <x v="905"/>
    <s v="0774466130"/>
  </r>
  <r>
    <s v="190013998"/>
    <s v="Mr. Hybrid"/>
    <x v="3"/>
    <x v="3"/>
    <s v="4227276036"/>
    <d v="2024-03-27T00:00:00"/>
    <n v="3"/>
    <x v="1"/>
    <n v="4071"/>
    <n v="4071"/>
    <n v="237"/>
    <x v="1054"/>
    <s v="0774466130"/>
  </r>
  <r>
    <s v="190014004"/>
    <s v="Auto Art"/>
    <x v="3"/>
    <x v="3"/>
    <s v="4227275469"/>
    <d v="2024-03-22T00:00:00"/>
    <n v="3"/>
    <x v="1"/>
    <n v="6797"/>
    <n v="6797"/>
    <n v="242"/>
    <x v="1055"/>
    <s v="0768307598"/>
  </r>
  <r>
    <s v="190014004"/>
    <s v="Auto Art"/>
    <x v="3"/>
    <x v="3"/>
    <s v="4227275559"/>
    <d v="2024-03-22T00:00:00"/>
    <n v="3"/>
    <x v="1"/>
    <n v="14738"/>
    <n v="14738"/>
    <n v="242"/>
    <x v="1056"/>
    <s v="0768307598"/>
  </r>
  <r>
    <s v="190014004"/>
    <s v="Auto Art"/>
    <x v="3"/>
    <x v="3"/>
    <s v="4227275560"/>
    <d v="2024-03-22T00:00:00"/>
    <n v="3"/>
    <x v="1"/>
    <n v="3363"/>
    <n v="3363"/>
    <n v="242"/>
    <x v="1057"/>
    <s v="0768307598"/>
  </r>
  <r>
    <s v="190014004"/>
    <s v="Auto Art"/>
    <x v="3"/>
    <x v="3"/>
    <s v="4227275707"/>
    <d v="2024-03-25T00:00:00"/>
    <n v="3"/>
    <x v="1"/>
    <n v="5723"/>
    <n v="5723"/>
    <n v="239"/>
    <x v="1058"/>
    <s v="0768307598"/>
  </r>
  <r>
    <s v="190014053"/>
    <s v="Champion Auto Care (Pvt) Ltd"/>
    <x v="3"/>
    <x v="3"/>
    <s v="RTN CHQ 395548"/>
    <d v="2024-05-30T00:00:00"/>
    <n v="5"/>
    <x v="1"/>
    <n v="100000"/>
    <n v="100000"/>
    <n v="173"/>
    <x v="1059"/>
    <s v="0771964956"/>
  </r>
  <r>
    <s v="190014053"/>
    <s v="Champion Auto Care (Pvt) Ltd"/>
    <x v="3"/>
    <x v="3"/>
    <s v="4227273352"/>
    <d v="2024-03-02T00:00:00"/>
    <n v="3"/>
    <x v="1"/>
    <n v="56923"/>
    <n v="56923"/>
    <n v="262"/>
    <x v="1060"/>
    <s v="0771964956"/>
  </r>
  <r>
    <s v="190014053"/>
    <s v="Champion Auto Care (Pvt) Ltd"/>
    <x v="3"/>
    <x v="3"/>
    <s v="4227274319"/>
    <d v="2024-03-12T00:00:00"/>
    <n v="3"/>
    <x v="1"/>
    <n v="29736"/>
    <n v="29736"/>
    <n v="252"/>
    <x v="157"/>
    <s v="0771964956"/>
  </r>
  <r>
    <s v="190014053"/>
    <s v="Champion Auto Care (Pvt) Ltd"/>
    <x v="3"/>
    <x v="3"/>
    <s v="4227275125"/>
    <d v="2024-03-20T00:00:00"/>
    <n v="3"/>
    <x v="1"/>
    <n v="128396"/>
    <n v="128396"/>
    <n v="244"/>
    <x v="1061"/>
    <s v="0771964956"/>
  </r>
  <r>
    <s v="190014053"/>
    <s v="Champion Auto Care (Pvt) Ltd"/>
    <x v="3"/>
    <x v="3"/>
    <s v="4227276076"/>
    <d v="2024-03-27T00:00:00"/>
    <n v="3"/>
    <x v="1"/>
    <n v="21417"/>
    <n v="21417"/>
    <n v="237"/>
    <x v="992"/>
    <s v="0771964956"/>
  </r>
  <r>
    <s v="190014053"/>
    <s v="Champion Auto Care (Pvt) Ltd"/>
    <x v="3"/>
    <x v="3"/>
    <s v="4227276190"/>
    <d v="2024-03-27T00:00:00"/>
    <n v="3"/>
    <x v="1"/>
    <n v="17700"/>
    <n v="17700"/>
    <n v="237"/>
    <x v="1062"/>
    <s v="0771964956"/>
  </r>
  <r>
    <s v="190014053"/>
    <s v="Champion Auto Care (Pvt) Ltd"/>
    <x v="3"/>
    <x v="3"/>
    <s v="4227278435"/>
    <d v="2024-04-29T00:00:00"/>
    <n v="4"/>
    <x v="1"/>
    <n v="5900"/>
    <n v="5900"/>
    <n v="204"/>
    <x v="988"/>
    <s v="0771964956"/>
  </r>
  <r>
    <s v="190014053"/>
    <s v="Champion Auto Care (Pvt) Ltd"/>
    <x v="3"/>
    <x v="3"/>
    <s v="4227278785"/>
    <d v="2024-04-30T00:00:00"/>
    <n v="4"/>
    <x v="1"/>
    <n v="53838"/>
    <n v="53838"/>
    <n v="203"/>
    <x v="1063"/>
    <s v="0771964956"/>
  </r>
  <r>
    <s v="190014053"/>
    <s v="Champion Auto Care (Pvt) Ltd"/>
    <x v="3"/>
    <x v="3"/>
    <s v="4227278798"/>
    <d v="2024-04-30T00:00:00"/>
    <n v="4"/>
    <x v="1"/>
    <n v="31329"/>
    <n v="31329"/>
    <n v="203"/>
    <x v="808"/>
    <s v="0771964956"/>
  </r>
  <r>
    <s v="190014059"/>
    <s v="Roy Motors"/>
    <x v="3"/>
    <x v="3"/>
    <s v="4227262800"/>
    <d v="2023-11-24T00:00:00"/>
    <n v="11"/>
    <x v="0"/>
    <n v="30001"/>
    <n v="30001"/>
    <n v="361"/>
    <x v="1064"/>
    <s v="0788968494"/>
  </r>
  <r>
    <s v="190014059"/>
    <s v="Roy Motors"/>
    <x v="3"/>
    <x v="3"/>
    <s v="4227263320"/>
    <d v="2023-11-30T00:00:00"/>
    <n v="11"/>
    <x v="0"/>
    <n v="248920"/>
    <n v="48920"/>
    <n v="355"/>
    <x v="1065"/>
    <s v="0788968494"/>
  </r>
  <r>
    <s v="190014078"/>
    <s v="8 To 8 One Stop Auto Care"/>
    <x v="3"/>
    <x v="3"/>
    <s v="232981"/>
    <d v="2024-07-15T00:00:00"/>
    <n v="7"/>
    <x v="1"/>
    <n v="-160"/>
    <n v="-160"/>
    <n v="127"/>
    <x v="1066"/>
    <s v="077636166"/>
  </r>
  <r>
    <s v="190014079"/>
    <s v="Nalaka Motors &amp; Automobile"/>
    <x v="3"/>
    <x v="3"/>
    <s v="RTN CHQ 018445"/>
    <d v="2024-06-25T00:00:00"/>
    <n v="6"/>
    <x v="1"/>
    <n v="175056"/>
    <n v="175056"/>
    <n v="147"/>
    <x v="1067"/>
    <s v="0773253940"/>
  </r>
  <r>
    <s v="190014079"/>
    <s v="Nalaka Motors &amp; Automobile"/>
    <x v="3"/>
    <x v="3"/>
    <s v="4227256065"/>
    <d v="2023-09-27T00:00:00"/>
    <n v="9"/>
    <x v="0"/>
    <n v="64444"/>
    <n v="44444"/>
    <n v="419"/>
    <x v="1068"/>
    <s v="0773253940"/>
  </r>
  <r>
    <s v="190014079"/>
    <s v="Nalaka Motors &amp; Automobile"/>
    <x v="3"/>
    <x v="3"/>
    <s v="4227270776"/>
    <d v="2024-02-12T00:00:00"/>
    <n v="2"/>
    <x v="1"/>
    <n v="6000"/>
    <n v="6000"/>
    <n v="281"/>
    <x v="591"/>
    <s v="0773253940"/>
  </r>
  <r>
    <s v="190014079"/>
    <s v="Nalaka Motors &amp; Automobile"/>
    <x v="3"/>
    <x v="3"/>
    <s v="4227275307"/>
    <d v="2024-03-21T00:00:00"/>
    <n v="3"/>
    <x v="1"/>
    <n v="26108"/>
    <n v="26108"/>
    <n v="243"/>
    <x v="1069"/>
    <s v="0773253940"/>
  </r>
  <r>
    <s v="190014079"/>
    <s v="Nalaka Motors &amp; Automobile"/>
    <x v="3"/>
    <x v="3"/>
    <s v="4227275335"/>
    <d v="2024-03-22T00:00:00"/>
    <n v="3"/>
    <x v="1"/>
    <n v="5723"/>
    <n v="5723"/>
    <n v="242"/>
    <x v="1058"/>
    <s v="0773253940"/>
  </r>
  <r>
    <s v="190014079"/>
    <s v="Nalaka Motors &amp; Automobile"/>
    <x v="3"/>
    <x v="3"/>
    <s v="4227275708"/>
    <d v="2024-03-25T00:00:00"/>
    <n v="3"/>
    <x v="1"/>
    <n v="3493"/>
    <n v="3493"/>
    <n v="239"/>
    <x v="1070"/>
    <s v="0773253940"/>
  </r>
  <r>
    <s v="190014079"/>
    <s v="Nalaka Motors &amp; Automobile"/>
    <x v="3"/>
    <x v="3"/>
    <s v="4227280911"/>
    <d v="2024-05-17T00:00:00"/>
    <n v="5"/>
    <x v="1"/>
    <n v="24073"/>
    <n v="24073"/>
    <n v="186"/>
    <x v="1071"/>
    <s v="0773253940"/>
  </r>
  <r>
    <s v="190014081"/>
    <s v="N &amp; N Solutions"/>
    <x v="3"/>
    <x v="3"/>
    <s v="214174 / 550537"/>
    <d v="2024-01-16T00:00:00"/>
    <n v="1"/>
    <x v="1"/>
    <n v="-503"/>
    <n v="-503"/>
    <n v="308"/>
    <x v="1072"/>
    <s v="0759670621"/>
  </r>
  <r>
    <s v="190014081"/>
    <s v="N &amp; N Solutions"/>
    <x v="3"/>
    <x v="3"/>
    <s v="4227268596"/>
    <d v="2024-01-23T00:00:00"/>
    <n v="1"/>
    <x v="1"/>
    <n v="38549"/>
    <n v="38549"/>
    <n v="301"/>
    <x v="1073"/>
    <s v="0759670621"/>
  </r>
  <r>
    <s v="190014082"/>
    <s v="Go Green Hybrid Auto Care"/>
    <x v="3"/>
    <x v="3"/>
    <s v="4227256067"/>
    <d v="2023-09-27T00:00:00"/>
    <n v="9"/>
    <x v="0"/>
    <n v="17003"/>
    <n v="17003"/>
    <n v="419"/>
    <x v="1074"/>
    <s v="0741603604"/>
  </r>
  <r>
    <s v="190014083"/>
    <s v="Sudantha Motors"/>
    <x v="3"/>
    <x v="3"/>
    <s v="4227297123"/>
    <d v="2024-09-20T00:00:00"/>
    <n v="9"/>
    <x v="1"/>
    <n v="37076"/>
    <n v="37076"/>
    <n v="60"/>
    <x v="3"/>
    <s v="0112925870"/>
  </r>
  <r>
    <s v="190014085"/>
    <s v="Waruna Auto Electrical"/>
    <x v="3"/>
    <x v="3"/>
    <s v="4227255994"/>
    <d v="2023-09-27T00:00:00"/>
    <n v="9"/>
    <x v="0"/>
    <n v="46920"/>
    <n v="46920"/>
    <n v="419"/>
    <x v="1075"/>
    <s v="0772330005"/>
  </r>
  <r>
    <s v="190014090"/>
    <s v="Prabhash Diesel Motors"/>
    <x v="3"/>
    <x v="3"/>
    <s v="4227256070"/>
    <d v="2023-09-27T00:00:00"/>
    <n v="9"/>
    <x v="0"/>
    <n v="36141"/>
    <n v="30000"/>
    <n v="419"/>
    <x v="1076"/>
    <s v="0112960689"/>
  </r>
  <r>
    <s v="190014100"/>
    <s v="Naveen Motors"/>
    <x v="3"/>
    <x v="3"/>
    <s v="4227278658"/>
    <d v="2024-04-30T00:00:00"/>
    <n v="4"/>
    <x v="1"/>
    <n v="22066"/>
    <n v="22066"/>
    <n v="203"/>
    <x v="864"/>
    <s v="0716379272"/>
  </r>
  <r>
    <s v="190014100"/>
    <s v="Naveen Motors"/>
    <x v="3"/>
    <x v="3"/>
    <s v="4227279722"/>
    <d v="2024-05-08T00:00:00"/>
    <n v="5"/>
    <x v="1"/>
    <n v="342200"/>
    <n v="200"/>
    <n v="195"/>
    <x v="383"/>
    <s v="0716379272"/>
  </r>
  <r>
    <s v="190014100"/>
    <s v="Naveen Motors"/>
    <x v="3"/>
    <x v="3"/>
    <s v="4227281588"/>
    <d v="2024-05-27T00:00:00"/>
    <n v="5"/>
    <x v="1"/>
    <n v="11210"/>
    <n v="11210"/>
    <n v="176"/>
    <x v="1077"/>
    <s v="0716379272"/>
  </r>
  <r>
    <s v="190014100"/>
    <s v="Naveen Motors"/>
    <x v="3"/>
    <x v="3"/>
    <s v="4227281589"/>
    <d v="2024-05-27T00:00:00"/>
    <n v="5"/>
    <x v="1"/>
    <n v="47082"/>
    <n v="47082"/>
    <n v="176"/>
    <x v="837"/>
    <s v="0716379272"/>
  </r>
  <r>
    <s v="190014195"/>
    <s v="Priyadarshana Auto Care"/>
    <x v="3"/>
    <x v="3"/>
    <s v="4227262211"/>
    <d v="2023-11-24T00:00:00"/>
    <n v="11"/>
    <x v="0"/>
    <n v="22080"/>
    <n v="22080"/>
    <n v="361"/>
    <x v="938"/>
    <s v="0703195871"/>
  </r>
  <r>
    <s v="190014195"/>
    <s v="Priyadarshana Auto Care"/>
    <x v="3"/>
    <x v="3"/>
    <s v="4227298395"/>
    <d v="2024-09-30T00:00:00"/>
    <n v="9"/>
    <x v="1"/>
    <n v="8732"/>
    <n v="8732"/>
    <n v="50"/>
    <x v="3"/>
    <s v="0703195871"/>
  </r>
  <r>
    <s v="190014212"/>
    <s v="Abs Lanka (Pvt) Ltd"/>
    <x v="3"/>
    <x v="3"/>
    <s v="232988 / 000020"/>
    <d v="2024-09-25T00:00:00"/>
    <n v="9"/>
    <x v="1"/>
    <n v="-600"/>
    <n v="-600"/>
    <n v="55"/>
    <x v="3"/>
    <s v="0713333395"/>
  </r>
  <r>
    <s v="190014212"/>
    <s v="Abs Lanka (Pvt) Ltd"/>
    <x v="3"/>
    <x v="3"/>
    <s v="227586 / 000067"/>
    <d v="2024-09-25T00:00:00"/>
    <n v="9"/>
    <x v="1"/>
    <n v="-255400"/>
    <n v="-255400"/>
    <n v="55"/>
    <x v="3"/>
    <s v="0713333395"/>
  </r>
  <r>
    <s v="190014212"/>
    <s v="Abs Lanka (Pvt) Ltd"/>
    <x v="3"/>
    <x v="3"/>
    <s v="227587 / 000068"/>
    <d v="2024-10-15T00:00:00"/>
    <n v="10"/>
    <x v="1"/>
    <n v="-74693"/>
    <n v="-74693"/>
    <n v="35"/>
    <x v="3"/>
    <s v="0713333395"/>
  </r>
  <r>
    <s v="190014212"/>
    <s v="Abs Lanka (Pvt) Ltd"/>
    <x v="3"/>
    <x v="3"/>
    <s v="238010 / 000131"/>
    <d v="2024-11-04T00:00:00"/>
    <n v="11"/>
    <x v="1"/>
    <n v="-8038"/>
    <n v="-8038"/>
    <n v="15"/>
    <x v="3"/>
    <s v="0713333395"/>
  </r>
  <r>
    <s v="190014212"/>
    <s v="Abs Lanka (Pvt) Ltd"/>
    <x v="3"/>
    <x v="3"/>
    <s v="238007 / 000049"/>
    <d v="2024-11-18T00:00:00"/>
    <n v="11"/>
    <x v="1"/>
    <n v="-250000"/>
    <n v="-250000"/>
    <n v="1"/>
    <x v="3"/>
    <s v="0713333395"/>
  </r>
  <r>
    <s v="190014212"/>
    <s v="Abs Lanka (Pvt) Ltd"/>
    <x v="3"/>
    <x v="3"/>
    <s v="4227284780"/>
    <d v="2024-06-25T00:00:00"/>
    <n v="6"/>
    <x v="1"/>
    <n v="330093"/>
    <n v="330093"/>
    <n v="147"/>
    <x v="1078"/>
    <s v="0713333395"/>
  </r>
  <r>
    <s v="190014212"/>
    <s v="Abs Lanka (Pvt) Ltd"/>
    <x v="3"/>
    <x v="3"/>
    <s v="4227286607"/>
    <d v="2024-07-08T00:00:00"/>
    <n v="7"/>
    <x v="1"/>
    <n v="147878"/>
    <n v="147878"/>
    <n v="134"/>
    <x v="1079"/>
    <s v="0713333395"/>
  </r>
  <r>
    <s v="190014212"/>
    <s v="Abs Lanka (Pvt) Ltd"/>
    <x v="3"/>
    <x v="3"/>
    <s v="4227287022"/>
    <d v="2024-07-11T00:00:00"/>
    <n v="7"/>
    <x v="1"/>
    <n v="14160"/>
    <n v="14160"/>
    <n v="131"/>
    <x v="406"/>
    <s v="0713333395"/>
  </r>
  <r>
    <s v="190014212"/>
    <s v="Abs Lanka (Pvt) Ltd"/>
    <x v="3"/>
    <x v="3"/>
    <s v="4227288987"/>
    <d v="2024-07-25T00:00:00"/>
    <n v="7"/>
    <x v="1"/>
    <n v="472000"/>
    <n v="472000"/>
    <n v="117"/>
    <x v="1080"/>
    <s v="0713333395"/>
  </r>
  <r>
    <s v="190014212"/>
    <s v="Abs Lanka (Pvt) Ltd"/>
    <x v="3"/>
    <x v="3"/>
    <s v="4227294925"/>
    <d v="2024-08-31T00:00:00"/>
    <n v="8"/>
    <x v="1"/>
    <n v="121918"/>
    <n v="121918"/>
    <n v="80"/>
    <x v="3"/>
    <s v="0713333395"/>
  </r>
  <r>
    <s v="190014212"/>
    <s v="Abs Lanka (Pvt) Ltd"/>
    <x v="3"/>
    <x v="3"/>
    <s v="4227294926"/>
    <d v="2024-08-31T00:00:00"/>
    <n v="8"/>
    <x v="1"/>
    <n v="60959"/>
    <n v="60959"/>
    <n v="80"/>
    <x v="3"/>
    <s v="0713333395"/>
  </r>
  <r>
    <s v="190014212"/>
    <s v="Abs Lanka (Pvt) Ltd"/>
    <x v="3"/>
    <x v="3"/>
    <s v="4227294927"/>
    <d v="2024-08-31T00:00:00"/>
    <n v="8"/>
    <x v="1"/>
    <n v="121918"/>
    <n v="121918"/>
    <n v="80"/>
    <x v="3"/>
    <s v="0713333395"/>
  </r>
  <r>
    <s v="190014212"/>
    <s v="Abs Lanka (Pvt) Ltd"/>
    <x v="3"/>
    <x v="3"/>
    <s v="4227298658"/>
    <d v="2024-09-30T00:00:00"/>
    <n v="9"/>
    <x v="1"/>
    <n v="94400"/>
    <n v="0"/>
    <n v="50"/>
    <x v="3"/>
    <s v="0713333395"/>
  </r>
  <r>
    <s v="190014212"/>
    <s v="Abs Lanka (Pvt) Ltd"/>
    <x v="3"/>
    <x v="3"/>
    <s v="4227303184"/>
    <d v="2024-10-30T00:00:00"/>
    <n v="10"/>
    <x v="1"/>
    <n v="899868"/>
    <n v="899868"/>
    <n v="20"/>
    <x v="3"/>
    <s v="0713333395"/>
  </r>
  <r>
    <s v="190014243"/>
    <s v="Engine.Lk"/>
    <x v="3"/>
    <x v="3"/>
    <s v="4227272479"/>
    <d v="2024-02-27T00:00:00"/>
    <n v="2"/>
    <x v="1"/>
    <n v="32285"/>
    <n v="2640"/>
    <n v="266"/>
    <x v="1081"/>
    <s v="0703346221"/>
  </r>
  <r>
    <s v="190014314"/>
    <s v="Quick Auto Paint"/>
    <x v="3"/>
    <x v="3"/>
    <s v="4227269455"/>
    <d v="2024-01-30T00:00:00"/>
    <n v="1"/>
    <x v="1"/>
    <n v="1328"/>
    <n v="1328"/>
    <n v="294"/>
    <x v="1082"/>
    <s v="0776090300"/>
  </r>
  <r>
    <s v="190014315"/>
    <s v="Power Plus Auto A/c"/>
    <x v="3"/>
    <x v="3"/>
    <s v="4227269456"/>
    <d v="2024-01-30T00:00:00"/>
    <n v="1"/>
    <x v="1"/>
    <n v="6372"/>
    <n v="6372"/>
    <n v="294"/>
    <x v="1083"/>
    <s v="0779814988"/>
  </r>
  <r>
    <s v="190014317"/>
    <s v="Suresh Motors"/>
    <x v="3"/>
    <x v="3"/>
    <s v="4227269457"/>
    <d v="2024-01-30T00:00:00"/>
    <n v="1"/>
    <x v="1"/>
    <n v="1062"/>
    <n v="1062"/>
    <n v="294"/>
    <x v="1084"/>
    <s v="0779366393"/>
  </r>
  <r>
    <s v="190014521"/>
    <s v="Car Solutions LK"/>
    <x v="3"/>
    <x v="3"/>
    <s v="4227278196"/>
    <d v="2024-04-26T00:00:00"/>
    <n v="4"/>
    <x v="1"/>
    <n v="6124"/>
    <n v="6124"/>
    <n v="207"/>
    <x v="1085"/>
    <s v="0703600309"/>
  </r>
  <r>
    <s v="190014524"/>
    <s v="C. I. Motors"/>
    <x v="3"/>
    <x v="3"/>
    <s v="4227278193"/>
    <d v="2024-04-26T00:00:00"/>
    <n v="4"/>
    <x v="1"/>
    <n v="8372"/>
    <n v="8372"/>
    <n v="207"/>
    <x v="1086"/>
    <s v="0711125809"/>
  </r>
  <r>
    <s v="190014552"/>
    <s v="Dilan Motors"/>
    <x v="3"/>
    <x v="3"/>
    <s v="4227278194"/>
    <d v="2024-04-26T00:00:00"/>
    <n v="4"/>
    <x v="1"/>
    <n v="7540"/>
    <n v="7540"/>
    <n v="207"/>
    <x v="1087"/>
    <s v="0771352251"/>
  </r>
  <r>
    <s v="190014552"/>
    <s v="Dilan Motors"/>
    <x v="3"/>
    <x v="3"/>
    <s v="4227278792"/>
    <d v="2024-04-30T00:00:00"/>
    <n v="4"/>
    <x v="1"/>
    <n v="89444"/>
    <n v="89444"/>
    <n v="203"/>
    <x v="1088"/>
    <s v="0771352251"/>
  </r>
  <r>
    <s v="190014553"/>
    <s v="Street Garage"/>
    <x v="3"/>
    <x v="3"/>
    <s v="4227277864"/>
    <d v="2024-04-22T00:00:00"/>
    <n v="4"/>
    <x v="1"/>
    <n v="22066"/>
    <n v="22066"/>
    <n v="211"/>
    <x v="864"/>
    <s v="0770726290"/>
  </r>
  <r>
    <s v="190014553"/>
    <s v="Street Garage"/>
    <x v="3"/>
    <x v="3"/>
    <s v="4227277911"/>
    <d v="2024-04-24T00:00:00"/>
    <n v="4"/>
    <x v="1"/>
    <n v="17983"/>
    <n v="17983"/>
    <n v="209"/>
    <x v="1089"/>
    <s v="0770726290"/>
  </r>
  <r>
    <s v="190014553"/>
    <s v="Street Garage"/>
    <x v="3"/>
    <x v="3"/>
    <s v="4227285293"/>
    <d v="2024-06-28T00:00:00"/>
    <n v="6"/>
    <x v="1"/>
    <n v="133387"/>
    <n v="133387"/>
    <n v="144"/>
    <x v="1090"/>
    <s v="0770726290"/>
  </r>
  <r>
    <s v="190014553"/>
    <s v="Street Garage"/>
    <x v="3"/>
    <x v="3"/>
    <s v="4227285294"/>
    <d v="2024-06-28T00:00:00"/>
    <n v="6"/>
    <x v="1"/>
    <n v="71980"/>
    <n v="71980"/>
    <n v="144"/>
    <x v="1091"/>
    <s v="0770726290"/>
  </r>
  <r>
    <s v="190014561"/>
    <s v="Mihila Auto Care"/>
    <x v="3"/>
    <x v="3"/>
    <s v="4227293884"/>
    <d v="2024-08-28T00:00:00"/>
    <n v="8"/>
    <x v="1"/>
    <n v="130980"/>
    <n v="130980"/>
    <n v="83"/>
    <x v="3"/>
    <s v="0764421138"/>
  </r>
  <r>
    <s v="190014597"/>
    <s v="Manju Motors"/>
    <x v="3"/>
    <x v="3"/>
    <s v="4227281141"/>
    <d v="2024-05-20T00:00:00"/>
    <n v="5"/>
    <x v="1"/>
    <n v="6608"/>
    <n v="6608"/>
    <n v="183"/>
    <x v="684"/>
    <s v="0767025405"/>
  </r>
  <r>
    <s v="190014622"/>
    <s v="S R Electronic Engineering Auto Mot"/>
    <x v="3"/>
    <x v="3"/>
    <s v="4227278605"/>
    <d v="2024-04-30T00:00:00"/>
    <n v="4"/>
    <x v="1"/>
    <n v="22066"/>
    <n v="22066"/>
    <n v="203"/>
    <x v="864"/>
    <s v="0715786925"/>
  </r>
  <r>
    <s v="190014622"/>
    <s v="S R Electronic Engineering Auto Mot"/>
    <x v="3"/>
    <x v="3"/>
    <s v="4227278664"/>
    <d v="2024-04-30T00:00:00"/>
    <n v="4"/>
    <x v="1"/>
    <n v="527702"/>
    <n v="527702"/>
    <n v="203"/>
    <x v="1092"/>
    <s v="0715786925"/>
  </r>
  <r>
    <s v="190014635"/>
    <s v="Pasidu Motors"/>
    <x v="3"/>
    <x v="3"/>
    <s v="4227281143"/>
    <d v="2024-05-20T00:00:00"/>
    <n v="5"/>
    <x v="1"/>
    <n v="22656"/>
    <n v="22656"/>
    <n v="183"/>
    <x v="1036"/>
    <s v="0754787785"/>
  </r>
  <r>
    <s v="190014691"/>
    <s v="Oshan Windscreen House (Pvt) Ltd"/>
    <x v="3"/>
    <x v="3"/>
    <s v="4227292262"/>
    <d v="2024-08-15T00:00:00"/>
    <n v="8"/>
    <x v="1"/>
    <n v="33394"/>
    <n v="33394"/>
    <n v="96"/>
    <x v="1093"/>
    <s v="0773629184"/>
  </r>
  <r>
    <s v="190014700"/>
    <s v="Tech Garage"/>
    <x v="3"/>
    <x v="3"/>
    <s v="230271"/>
    <d v="2024-07-31T00:00:00"/>
    <n v="7"/>
    <x v="1"/>
    <n v="-35840"/>
    <n v="-1178"/>
    <n v="111"/>
    <x v="1094"/>
    <s v="0755104646"/>
  </r>
  <r>
    <s v="190014700"/>
    <s v="Tech Garage"/>
    <x v="3"/>
    <x v="3"/>
    <s v="235756"/>
    <d v="2024-09-20T00:00:00"/>
    <n v="9"/>
    <x v="1"/>
    <n v="-29377"/>
    <n v="-29377"/>
    <n v="60"/>
    <x v="3"/>
    <s v="0755104646"/>
  </r>
  <r>
    <s v="190014700"/>
    <s v="Tech Garage"/>
    <x v="3"/>
    <x v="3"/>
    <s v="4227288439"/>
    <d v="2024-07-22T00:00:00"/>
    <n v="7"/>
    <x v="1"/>
    <n v="79650"/>
    <n v="29650"/>
    <n v="120"/>
    <x v="1095"/>
    <s v="0755104646"/>
  </r>
  <r>
    <s v="190014700"/>
    <s v="Tech Garage"/>
    <x v="3"/>
    <x v="3"/>
    <s v="4227288441"/>
    <d v="2024-07-22T00:00:00"/>
    <n v="7"/>
    <x v="1"/>
    <n v="1263"/>
    <n v="1263"/>
    <n v="120"/>
    <x v="1096"/>
    <s v="0755104646"/>
  </r>
  <r>
    <s v="190014700"/>
    <s v="Tech Garage"/>
    <x v="3"/>
    <x v="3"/>
    <s v="4227289002"/>
    <d v="2024-07-25T00:00:00"/>
    <n v="7"/>
    <x v="1"/>
    <n v="29710"/>
    <n v="29710"/>
    <n v="117"/>
    <x v="1097"/>
    <s v="0755104646"/>
  </r>
  <r>
    <s v="190014700"/>
    <s v="Tech Garage"/>
    <x v="3"/>
    <x v="3"/>
    <s v="4227289910"/>
    <d v="2024-07-30T00:00:00"/>
    <n v="7"/>
    <x v="1"/>
    <n v="3776"/>
    <n v="3776"/>
    <n v="112"/>
    <x v="905"/>
    <s v="0755104646"/>
  </r>
  <r>
    <s v="190014700"/>
    <s v="Tech Garage"/>
    <x v="3"/>
    <x v="3"/>
    <s v="4227290595"/>
    <d v="2024-07-31T00:00:00"/>
    <n v="7"/>
    <x v="1"/>
    <n v="56640"/>
    <n v="56640"/>
    <n v="111"/>
    <x v="330"/>
    <s v="0755104646"/>
  </r>
  <r>
    <s v="190014700"/>
    <s v="Tech Garage"/>
    <x v="3"/>
    <x v="3"/>
    <s v="4227291382"/>
    <d v="2024-08-08T00:00:00"/>
    <n v="8"/>
    <x v="1"/>
    <n v="1003"/>
    <n v="1003"/>
    <n v="103"/>
    <x v="1098"/>
    <s v="0755104646"/>
  </r>
  <r>
    <s v="190014700"/>
    <s v="Tech Garage"/>
    <x v="3"/>
    <x v="3"/>
    <s v="4227298660"/>
    <d v="2024-09-30T00:00:00"/>
    <n v="9"/>
    <x v="1"/>
    <n v="48144"/>
    <n v="48144"/>
    <n v="50"/>
    <x v="3"/>
    <s v="0755104646"/>
  </r>
  <r>
    <s v="190014797"/>
    <s v="Kalindu Motors"/>
    <x v="3"/>
    <x v="3"/>
    <s v="4227285071"/>
    <d v="2024-06-27T00:00:00"/>
    <n v="6"/>
    <x v="1"/>
    <n v="5369"/>
    <n v="5369"/>
    <n v="145"/>
    <x v="1099"/>
    <s v="0770894403"/>
  </r>
  <r>
    <s v="190014797"/>
    <s v="Kalindu Motors"/>
    <x v="3"/>
    <x v="3"/>
    <s v="4227300098"/>
    <d v="2024-10-10T00:00:00"/>
    <n v="10"/>
    <x v="1"/>
    <n v="1770"/>
    <n v="1770"/>
    <n v="40"/>
    <x v="3"/>
    <s v="0770894403"/>
  </r>
  <r>
    <s v="190014804"/>
    <s v="A2z Auto Com (Pvt) Ltd"/>
    <x v="3"/>
    <x v="3"/>
    <s v="4227293924"/>
    <d v="2024-08-28T00:00:00"/>
    <n v="8"/>
    <x v="1"/>
    <n v="43117"/>
    <n v="43117"/>
    <n v="83"/>
    <x v="3"/>
    <s v="0702986502"/>
  </r>
  <r>
    <s v="190014804"/>
    <s v="A2z Auto Com (Pvt) Ltd"/>
    <x v="3"/>
    <x v="3"/>
    <s v="4227293933"/>
    <d v="2024-08-28T00:00:00"/>
    <n v="8"/>
    <x v="1"/>
    <n v="47613"/>
    <n v="47613"/>
    <n v="83"/>
    <x v="3"/>
    <s v="0702986502"/>
  </r>
  <r>
    <s v="190014804"/>
    <s v="A2z Auto Com (Pvt) Ltd"/>
    <x v="3"/>
    <x v="3"/>
    <s v="4227293942"/>
    <d v="2024-08-28T00:00:00"/>
    <n v="8"/>
    <x v="1"/>
    <n v="10384"/>
    <n v="10384"/>
    <n v="83"/>
    <x v="3"/>
    <s v="0702986502"/>
  </r>
  <r>
    <s v="190014804"/>
    <s v="A2z Auto Com (Pvt) Ltd"/>
    <x v="3"/>
    <x v="3"/>
    <s v="4227295025"/>
    <d v="2024-08-31T00:00:00"/>
    <n v="8"/>
    <x v="1"/>
    <n v="7375"/>
    <n v="7375"/>
    <n v="80"/>
    <x v="3"/>
    <s v="0702986502"/>
  </r>
  <r>
    <s v="190014806"/>
    <s v="Vision Auto Solution"/>
    <x v="3"/>
    <x v="3"/>
    <s v="4227285073"/>
    <d v="2024-06-27T00:00:00"/>
    <n v="6"/>
    <x v="1"/>
    <n v="4720"/>
    <n v="4720"/>
    <n v="145"/>
    <x v="1100"/>
    <s v="0776517273"/>
  </r>
  <r>
    <s v="190014806"/>
    <s v="Vision Auto Solution"/>
    <x v="3"/>
    <x v="3"/>
    <s v="4227286665"/>
    <d v="2024-07-09T00:00:00"/>
    <n v="7"/>
    <x v="1"/>
    <n v="53100"/>
    <n v="53100"/>
    <n v="133"/>
    <x v="870"/>
    <s v="0776517273"/>
  </r>
  <r>
    <s v="190014852"/>
    <s v="Indra Engineering Motors"/>
    <x v="3"/>
    <x v="3"/>
    <s v="4227289302"/>
    <d v="2024-07-26T00:00:00"/>
    <n v="7"/>
    <x v="1"/>
    <n v="4472"/>
    <n v="4472"/>
    <n v="116"/>
    <x v="1101"/>
    <s v="0714282360"/>
  </r>
  <r>
    <s v="190014868"/>
    <s v="Sampath Motors"/>
    <x v="3"/>
    <x v="3"/>
    <s v="4227289522"/>
    <d v="2024-07-29T00:00:00"/>
    <n v="7"/>
    <x v="1"/>
    <n v="7452"/>
    <n v="7452"/>
    <n v="113"/>
    <x v="1102"/>
    <s v="0718145698"/>
  </r>
  <r>
    <s v="190014876"/>
    <s v="Uduwila Motors"/>
    <x v="3"/>
    <x v="3"/>
    <s v="4227288407"/>
    <d v="2024-07-22T00:00:00"/>
    <n v="7"/>
    <x v="1"/>
    <n v="56640"/>
    <n v="56640"/>
    <n v="120"/>
    <x v="330"/>
    <s v="0703603035"/>
  </r>
  <r>
    <s v="190014876"/>
    <s v="Uduwila Motors"/>
    <x v="3"/>
    <x v="3"/>
    <s v="4227291794"/>
    <d v="2024-08-12T00:00:00"/>
    <n v="8"/>
    <x v="1"/>
    <n v="67685"/>
    <n v="67685"/>
    <n v="99"/>
    <x v="1103"/>
    <s v="0703603035"/>
  </r>
  <r>
    <s v="190014876"/>
    <s v="Uduwila Motors"/>
    <x v="3"/>
    <x v="3"/>
    <s v="4227292235"/>
    <d v="2024-08-15T00:00:00"/>
    <n v="8"/>
    <x v="1"/>
    <n v="17241"/>
    <n v="17241"/>
    <n v="96"/>
    <x v="1104"/>
    <s v="0703603035"/>
  </r>
  <r>
    <s v="190014876"/>
    <s v="Uduwila Motors"/>
    <x v="3"/>
    <x v="3"/>
    <s v="4227292236"/>
    <d v="2024-08-15T00:00:00"/>
    <n v="8"/>
    <x v="1"/>
    <n v="3874"/>
    <n v="3874"/>
    <n v="96"/>
    <x v="1105"/>
    <s v="0703603035"/>
  </r>
  <r>
    <s v="190014876"/>
    <s v="Uduwila Motors"/>
    <x v="3"/>
    <x v="3"/>
    <s v="4227292237"/>
    <d v="2024-08-15T00:00:00"/>
    <n v="8"/>
    <x v="1"/>
    <n v="2424"/>
    <n v="2424"/>
    <n v="96"/>
    <x v="1106"/>
    <s v="0703603035"/>
  </r>
  <r>
    <s v="190014876"/>
    <s v="Uduwila Motors"/>
    <x v="3"/>
    <x v="3"/>
    <s v="4227297554"/>
    <d v="2024-09-25T00:00:00"/>
    <n v="9"/>
    <x v="1"/>
    <n v="4340"/>
    <n v="4340"/>
    <n v="55"/>
    <x v="3"/>
    <s v="0703603035"/>
  </r>
  <r>
    <s v="190014876"/>
    <s v="Uduwila Motors"/>
    <x v="3"/>
    <x v="3"/>
    <s v="4227297608"/>
    <d v="2024-09-25T00:00:00"/>
    <n v="9"/>
    <x v="1"/>
    <n v="3103"/>
    <n v="3103"/>
    <n v="55"/>
    <x v="3"/>
    <s v="0703603035"/>
  </r>
  <r>
    <s v="190014912"/>
    <s v="Wilko Auto Motive &amp; Importor"/>
    <x v="3"/>
    <x v="3"/>
    <s v="4227289384"/>
    <d v="2024-07-27T00:00:00"/>
    <n v="7"/>
    <x v="1"/>
    <n v="167690"/>
    <n v="33538"/>
    <n v="115"/>
    <x v="1107"/>
    <s v="0776559097"/>
  </r>
  <r>
    <s v="190014912"/>
    <s v="Wilko Auto Motive &amp; Importor"/>
    <x v="3"/>
    <x v="3"/>
    <s v="4227298661"/>
    <d v="2024-09-30T00:00:00"/>
    <n v="9"/>
    <x v="1"/>
    <n v="207822"/>
    <n v="207822"/>
    <n v="50"/>
    <x v="3"/>
    <s v="0776559097"/>
  </r>
  <r>
    <s v="190014959"/>
    <s v="Ragama Auto Line"/>
    <x v="3"/>
    <x v="3"/>
    <s v="4227292546"/>
    <d v="2024-08-17T00:00:00"/>
    <n v="8"/>
    <x v="1"/>
    <n v="141600"/>
    <n v="141600"/>
    <n v="94"/>
    <x v="675"/>
    <s v="0762881042"/>
  </r>
  <r>
    <s v="190014959"/>
    <s v="Ragama Auto Line"/>
    <x v="3"/>
    <x v="3"/>
    <s v="4227296890"/>
    <d v="2024-09-20T00:00:00"/>
    <n v="9"/>
    <x v="1"/>
    <n v="67673"/>
    <n v="67673"/>
    <n v="60"/>
    <x v="3"/>
    <s v="0762881042"/>
  </r>
  <r>
    <s v="190014989"/>
    <s v="Lalinda Oil Center"/>
    <x v="3"/>
    <x v="3"/>
    <s v="4227294390"/>
    <d v="2024-08-30T00:00:00"/>
    <n v="8"/>
    <x v="1"/>
    <n v="4366"/>
    <n v="4366"/>
    <n v="81"/>
    <x v="3"/>
    <s v="0777313204"/>
  </r>
  <r>
    <s v="190014989"/>
    <s v="Lalinda Oil Center"/>
    <x v="3"/>
    <x v="3"/>
    <s v="4227298162"/>
    <d v="2024-09-28T00:00:00"/>
    <n v="9"/>
    <x v="1"/>
    <n v="33182"/>
    <n v="33182"/>
    <n v="52"/>
    <x v="3"/>
    <s v="0777313204"/>
  </r>
  <r>
    <s v="190014990"/>
    <s v="Seek Modification"/>
    <x v="3"/>
    <x v="3"/>
    <s v="4227292239"/>
    <d v="2024-08-15T00:00:00"/>
    <n v="8"/>
    <x v="1"/>
    <n v="39574"/>
    <n v="39574"/>
    <n v="96"/>
    <x v="1108"/>
    <s v="0775728380"/>
  </r>
  <r>
    <s v="190014991"/>
    <s v="Chamara Motors"/>
    <x v="3"/>
    <x v="3"/>
    <s v="4227292240"/>
    <d v="2024-08-15T00:00:00"/>
    <n v="8"/>
    <x v="1"/>
    <n v="7552"/>
    <n v="0"/>
    <n v="96"/>
    <x v="345"/>
    <s v="0779637662"/>
  </r>
  <r>
    <s v="190014992"/>
    <s v="Banuka Motors"/>
    <x v="3"/>
    <x v="3"/>
    <s v="4227292201"/>
    <d v="2024-08-15T00:00:00"/>
    <n v="8"/>
    <x v="1"/>
    <n v="4720"/>
    <n v="4720"/>
    <n v="96"/>
    <x v="1100"/>
    <s v="0332270511"/>
  </r>
  <r>
    <s v="190014993"/>
    <s v="G. S. Lorry Body"/>
    <x v="3"/>
    <x v="3"/>
    <s v="4227295682"/>
    <d v="2024-09-06T00:00:00"/>
    <n v="9"/>
    <x v="1"/>
    <n v="113280"/>
    <n v="113280"/>
    <n v="74"/>
    <x v="3"/>
    <s v=""/>
  </r>
  <r>
    <s v="190014993"/>
    <s v="G. S. Lorry Body"/>
    <x v="3"/>
    <x v="3"/>
    <s v="4227298662"/>
    <d v="2024-09-30T00:00:00"/>
    <n v="9"/>
    <x v="1"/>
    <n v="40474"/>
    <n v="40474"/>
    <n v="50"/>
    <x v="3"/>
    <s v=""/>
  </r>
  <r>
    <s v="190015032"/>
    <s v="J A Auto Motors (Pvt) Ltd"/>
    <x v="3"/>
    <x v="3"/>
    <s v="4227293339"/>
    <d v="2024-08-26T00:00:00"/>
    <n v="8"/>
    <x v="1"/>
    <n v="81243"/>
    <n v="81243"/>
    <n v="85"/>
    <x v="3"/>
    <s v="0776617107"/>
  </r>
  <r>
    <s v="190015220"/>
    <s v="Prabath Automobile"/>
    <x v="3"/>
    <x v="3"/>
    <s v="4227296295"/>
    <d v="2024-09-12T00:00:00"/>
    <n v="9"/>
    <x v="1"/>
    <n v="64694"/>
    <n v="64694"/>
    <n v="68"/>
    <x v="3"/>
    <s v="0777492955"/>
  </r>
  <r>
    <s v="190015220"/>
    <s v="Prabath Automobile"/>
    <x v="3"/>
    <x v="3"/>
    <s v="4227296950"/>
    <d v="2024-09-20T00:00:00"/>
    <n v="9"/>
    <x v="1"/>
    <n v="61950"/>
    <n v="61950"/>
    <n v="60"/>
    <x v="3"/>
    <s v="0777492955"/>
  </r>
  <r>
    <s v="190015220"/>
    <s v="Prabath Automobile"/>
    <x v="3"/>
    <x v="3"/>
    <s v="4227297132"/>
    <d v="2024-09-20T00:00:00"/>
    <n v="9"/>
    <x v="1"/>
    <n v="32285"/>
    <n v="32285"/>
    <n v="60"/>
    <x v="3"/>
    <s v="0777492955"/>
  </r>
  <r>
    <s v="190015292"/>
    <s v="Thisara Enterprises"/>
    <x v="3"/>
    <x v="3"/>
    <s v="4227298406"/>
    <d v="2024-09-30T00:00:00"/>
    <n v="9"/>
    <x v="1"/>
    <n v="10974"/>
    <n v="10974"/>
    <n v="50"/>
    <x v="3"/>
    <s v="07189065361"/>
  </r>
  <r>
    <s v="190015292"/>
    <s v="Thisara Enterprises"/>
    <x v="3"/>
    <x v="3"/>
    <s v="4227303827"/>
    <d v="2024-10-31T00:00:00"/>
    <n v="10"/>
    <x v="1"/>
    <n v="23541"/>
    <n v="23541"/>
    <n v="19"/>
    <x v="3"/>
    <s v="07189065361"/>
  </r>
  <r>
    <s v="190015399"/>
    <s v="Shyamali Motors"/>
    <x v="3"/>
    <x v="3"/>
    <s v="4227299983"/>
    <d v="2024-10-09T00:00:00"/>
    <n v="10"/>
    <x v="1"/>
    <n v="13119"/>
    <n v="13119"/>
    <n v="41"/>
    <x v="3"/>
    <s v="0719982707"/>
  </r>
  <r>
    <s v="190015405"/>
    <s v="Imbulgoda Siyo Auto Parts"/>
    <x v="3"/>
    <x v="3"/>
    <s v="4227300817"/>
    <d v="2024-10-15T00:00:00"/>
    <n v="10"/>
    <x v="1"/>
    <n v="40773"/>
    <n v="40773"/>
    <n v="35"/>
    <x v="3"/>
    <s v="0784778627"/>
  </r>
  <r>
    <s v="190015406"/>
    <s v="Chinthaka Auto Service"/>
    <x v="3"/>
    <x v="3"/>
    <s v="4227299753"/>
    <d v="2024-10-08T00:00:00"/>
    <n v="10"/>
    <x v="1"/>
    <n v="22776"/>
    <n v="22776"/>
    <n v="42"/>
    <x v="3"/>
    <s v="0779947346"/>
  </r>
  <r>
    <s v="190015487"/>
    <s v="Uk Oil Mart"/>
    <x v="3"/>
    <x v="3"/>
    <s v="4227299915"/>
    <d v="2024-10-09T00:00:00"/>
    <n v="10"/>
    <x v="1"/>
    <n v="7434"/>
    <n v="7434"/>
    <n v="41"/>
    <x v="3"/>
    <s v="0777270084"/>
  </r>
  <r>
    <s v="190015527"/>
    <s v="Jayasinghe Auto Ac"/>
    <x v="3"/>
    <x v="3"/>
    <s v="4227300398"/>
    <d v="2024-10-12T00:00:00"/>
    <n v="10"/>
    <x v="1"/>
    <n v="32450"/>
    <n v="32450"/>
    <n v="38"/>
    <x v="3"/>
    <s v="0789555999"/>
  </r>
  <r>
    <s v="190015528"/>
    <s v="KR Point"/>
    <x v="3"/>
    <x v="3"/>
    <s v="4227302731"/>
    <d v="2024-10-28T00:00:00"/>
    <n v="10"/>
    <x v="1"/>
    <n v="28851"/>
    <n v="28851"/>
    <n v="22"/>
    <x v="3"/>
    <s v="0717221830"/>
  </r>
  <r>
    <s v="190015573"/>
    <s v="Mihiranga Automotive &amp; Spare Parts"/>
    <x v="3"/>
    <x v="3"/>
    <s v="4227300620"/>
    <d v="2024-10-14T00:00:00"/>
    <n v="10"/>
    <x v="1"/>
    <n v="4956"/>
    <n v="4956"/>
    <n v="36"/>
    <x v="3"/>
    <s v="0768980545"/>
  </r>
  <r>
    <s v="190015583"/>
    <s v="Nozzel House"/>
    <x v="3"/>
    <x v="3"/>
    <s v="4227300884"/>
    <d v="2024-10-15T00:00:00"/>
    <n v="10"/>
    <x v="1"/>
    <n v="59868"/>
    <n v="59868"/>
    <n v="35"/>
    <x v="3"/>
    <s v="0759702976"/>
  </r>
  <r>
    <s v="190015613"/>
    <s v="S. N. D. Auto Ac"/>
    <x v="3"/>
    <x v="3"/>
    <s v="4227301026"/>
    <d v="2024-10-16T00:00:00"/>
    <n v="10"/>
    <x v="1"/>
    <n v="32450"/>
    <n v="32450"/>
    <n v="34"/>
    <x v="3"/>
    <s v="0719210569"/>
  </r>
  <r>
    <s v="190015754"/>
    <s v="Leadspark"/>
    <x v="3"/>
    <x v="3"/>
    <s v="4227305611"/>
    <d v="2024-11-12T00:00:00"/>
    <n v="11"/>
    <x v="1"/>
    <n v="4720"/>
    <n v="4720"/>
    <n v="7"/>
    <x v="3"/>
    <s v="0763195105"/>
  </r>
  <r>
    <s v="190015770"/>
    <s v="Chamidu Motors"/>
    <x v="3"/>
    <x v="3"/>
    <s v="4227303353"/>
    <d v="2024-10-30T00:00:00"/>
    <n v="10"/>
    <x v="1"/>
    <n v="47497"/>
    <n v="47497"/>
    <n v="20"/>
    <x v="3"/>
    <s v="0750446080"/>
  </r>
  <r>
    <s v="190015773"/>
    <s v="Divan Motors"/>
    <x v="3"/>
    <x v="3"/>
    <s v="4227302813"/>
    <d v="2024-10-29T00:00:00"/>
    <n v="10"/>
    <x v="1"/>
    <n v="5192"/>
    <n v="5192"/>
    <n v="21"/>
    <x v="3"/>
    <s v="0758740804"/>
  </r>
  <r>
    <s v="190015781"/>
    <s v="Twin Turbo (Pvt) Ltd"/>
    <x v="3"/>
    <x v="3"/>
    <s v="4227302902"/>
    <d v="2024-10-29T00:00:00"/>
    <n v="10"/>
    <x v="1"/>
    <n v="6254"/>
    <n v="6254"/>
    <n v="21"/>
    <x v="3"/>
    <s v="0716926057"/>
  </r>
  <r>
    <s v="190015819"/>
    <s v="New Kumara Auto Care"/>
    <x v="3"/>
    <x v="3"/>
    <s v="4227303726"/>
    <d v="2024-10-31T00:00:00"/>
    <n v="10"/>
    <x v="1"/>
    <n v="50150"/>
    <n v="50150"/>
    <n v="19"/>
    <x v="3"/>
    <s v="0777355397"/>
  </r>
  <r>
    <s v="190015819"/>
    <s v="New Kumara Auto Care"/>
    <x v="3"/>
    <x v="3"/>
    <s v="4227303766"/>
    <d v="2024-10-31T00:00:00"/>
    <n v="10"/>
    <x v="1"/>
    <n v="26054"/>
    <n v="26054"/>
    <n v="19"/>
    <x v="3"/>
    <s v="0777355397"/>
  </r>
  <r>
    <s v="190015819"/>
    <s v="New Kumara Auto Care"/>
    <x v="3"/>
    <x v="3"/>
    <s v="4227303767"/>
    <d v="2024-10-31T00:00:00"/>
    <n v="10"/>
    <x v="1"/>
    <n v="56876"/>
    <n v="56876"/>
    <n v="19"/>
    <x v="3"/>
    <s v="0777355397"/>
  </r>
  <r>
    <s v="190015819"/>
    <s v="New Kumara Auto Care"/>
    <x v="3"/>
    <x v="3"/>
    <s v="4227303830"/>
    <d v="2024-10-31T00:00:00"/>
    <n v="10"/>
    <x v="1"/>
    <n v="173536"/>
    <n v="173536"/>
    <n v="19"/>
    <x v="3"/>
    <s v="0777355397"/>
  </r>
  <r>
    <s v="190015819"/>
    <s v="New Kumara Auto Care"/>
    <x v="3"/>
    <x v="3"/>
    <s v="4227303831"/>
    <d v="2024-10-31T00:00:00"/>
    <n v="10"/>
    <x v="1"/>
    <n v="176792"/>
    <n v="176792"/>
    <n v="19"/>
    <x v="3"/>
    <s v="0777355397"/>
  </r>
  <r>
    <s v="190015838"/>
    <s v="D. M. K. Auto Holding"/>
    <x v="3"/>
    <x v="3"/>
    <s v="4227303774"/>
    <d v="2024-10-31T00:00:00"/>
    <n v="10"/>
    <x v="1"/>
    <n v="4720"/>
    <n v="4720"/>
    <n v="19"/>
    <x v="3"/>
    <s v="0757985502"/>
  </r>
  <r>
    <s v="190015838"/>
    <s v="D. M. K. Auto Holding"/>
    <x v="3"/>
    <x v="3"/>
    <s v="4227303834"/>
    <d v="2024-10-31T00:00:00"/>
    <n v="10"/>
    <x v="1"/>
    <n v="5664"/>
    <n v="5664"/>
    <n v="19"/>
    <x v="3"/>
    <s v="0757985502"/>
  </r>
  <r>
    <s v="190015848"/>
    <s v="MS Auto Parts"/>
    <x v="3"/>
    <x v="3"/>
    <s v="4227303887"/>
    <d v="2024-10-31T00:00:00"/>
    <n v="10"/>
    <x v="1"/>
    <n v="6490"/>
    <n v="6490"/>
    <n v="19"/>
    <x v="3"/>
    <s v="0714627351"/>
  </r>
  <r>
    <s v="190000385"/>
    <s v="Hybrid Auto Tec"/>
    <x v="4"/>
    <x v="4"/>
    <s v="4227217832"/>
    <d v="2022-08-22T00:00:00"/>
    <n v="8"/>
    <x v="6"/>
    <n v="14045"/>
    <n v="14045"/>
    <n v="820"/>
    <x v="1109"/>
    <s v="777988220"/>
  </r>
  <r>
    <s v="190000585"/>
    <s v="Nawarathna Engineers"/>
    <x v="4"/>
    <x v="4"/>
    <s v="4227286256"/>
    <d v="2024-07-03T00:00:00"/>
    <n v="7"/>
    <x v="1"/>
    <n v="19588"/>
    <n v="19588"/>
    <n v="139"/>
    <x v="1110"/>
    <s v="775608734"/>
  </r>
  <r>
    <s v="190000585"/>
    <s v="Nawarathna Engineers"/>
    <x v="4"/>
    <x v="4"/>
    <s v="4227294209"/>
    <d v="2024-08-29T00:00:00"/>
    <n v="8"/>
    <x v="1"/>
    <n v="10030"/>
    <n v="10030"/>
    <n v="82"/>
    <x v="3"/>
    <s v="775608734"/>
  </r>
  <r>
    <s v="190000586"/>
    <s v="Sarath Radiator Works"/>
    <x v="4"/>
    <x v="4"/>
    <s v="4227295750"/>
    <d v="2024-09-07T00:00:00"/>
    <n v="9"/>
    <x v="1"/>
    <n v="13594"/>
    <n v="13594"/>
    <n v="73"/>
    <x v="3"/>
    <s v="777134863"/>
  </r>
  <r>
    <s v="190000586"/>
    <s v="Sarath Radiator Works"/>
    <x v="4"/>
    <x v="4"/>
    <s v="4227295965"/>
    <d v="2024-09-10T00:00:00"/>
    <n v="9"/>
    <x v="1"/>
    <n v="13594"/>
    <n v="13594"/>
    <n v="70"/>
    <x v="3"/>
    <s v="777134863"/>
  </r>
  <r>
    <s v="190000586"/>
    <s v="Sarath Radiator Works"/>
    <x v="4"/>
    <x v="4"/>
    <s v="4227297715"/>
    <d v="2024-09-26T00:00:00"/>
    <n v="9"/>
    <x v="1"/>
    <n v="6797"/>
    <n v="6797"/>
    <n v="54"/>
    <x v="3"/>
    <s v="777134863"/>
  </r>
  <r>
    <s v="190000587"/>
    <s v="Mahinda Motors"/>
    <x v="4"/>
    <x v="4"/>
    <s v="4227252237"/>
    <d v="2023-08-29T00:00:00"/>
    <n v="8"/>
    <x v="0"/>
    <n v="34500"/>
    <n v="19500"/>
    <n v="448"/>
    <x v="1111"/>
    <s v="722837054"/>
  </r>
  <r>
    <s v="190001216"/>
    <s v="Ranathunga (Auto) Traders"/>
    <x v="4"/>
    <x v="4"/>
    <s v="4227225462"/>
    <d v="2022-11-15T00:00:00"/>
    <n v="11"/>
    <x v="6"/>
    <n v="34500"/>
    <n v="621"/>
    <n v="735"/>
    <x v="1112"/>
    <s v="112535060"/>
  </r>
  <r>
    <s v="190001216"/>
    <s v="Ranathunga (Auto) Traders"/>
    <x v="4"/>
    <x v="4"/>
    <s v="4227298528"/>
    <d v="2024-09-30T00:00:00"/>
    <n v="9"/>
    <x v="1"/>
    <n v="47861"/>
    <n v="47861"/>
    <n v="50"/>
    <x v="3"/>
    <s v="112535060"/>
  </r>
  <r>
    <s v="190001216"/>
    <s v="Ranathunga (Auto) Traders"/>
    <x v="4"/>
    <x v="4"/>
    <s v="4227303083"/>
    <d v="2024-10-30T00:00:00"/>
    <n v="10"/>
    <x v="1"/>
    <n v="24886"/>
    <n v="24886"/>
    <n v="20"/>
    <x v="3"/>
    <s v="112535060"/>
  </r>
  <r>
    <s v="190001216"/>
    <s v="Ranathunga (Auto) Traders"/>
    <x v="4"/>
    <x v="4"/>
    <s v="4227303084"/>
    <d v="2024-10-30T00:00:00"/>
    <n v="10"/>
    <x v="1"/>
    <n v="32568"/>
    <n v="32568"/>
    <n v="20"/>
    <x v="3"/>
    <s v="112535060"/>
  </r>
  <r>
    <s v="190001216"/>
    <s v="Ranathunga (Auto) Traders"/>
    <x v="4"/>
    <x v="4"/>
    <s v="4227305031"/>
    <d v="2024-11-07T00:00:00"/>
    <n v="11"/>
    <x v="1"/>
    <n v="27527"/>
    <n v="27527"/>
    <n v="12"/>
    <x v="3"/>
    <s v="112535060"/>
  </r>
  <r>
    <s v="190001222"/>
    <s v="Sesatha Service Center"/>
    <x v="4"/>
    <x v="4"/>
    <s v="4227297205"/>
    <d v="2024-09-20T00:00:00"/>
    <n v="9"/>
    <x v="1"/>
    <n v="66363"/>
    <n v="66363"/>
    <n v="60"/>
    <x v="3"/>
    <s v="714852385"/>
  </r>
  <r>
    <s v="190001222"/>
    <s v="Sesatha Service Center"/>
    <x v="4"/>
    <x v="4"/>
    <s v="4227297954"/>
    <d v="2024-09-27T00:00:00"/>
    <n v="9"/>
    <x v="1"/>
    <n v="33182"/>
    <n v="33182"/>
    <n v="53"/>
    <x v="3"/>
    <s v="714852385"/>
  </r>
  <r>
    <s v="190001222"/>
    <s v="Sesatha Service Center"/>
    <x v="4"/>
    <x v="4"/>
    <s v="4227298034"/>
    <d v="2024-09-27T00:00:00"/>
    <n v="9"/>
    <x v="1"/>
    <n v="14666"/>
    <n v="14666"/>
    <n v="53"/>
    <x v="3"/>
    <s v="714852385"/>
  </r>
  <r>
    <s v="190001222"/>
    <s v="Sesatha Service Center"/>
    <x v="4"/>
    <x v="4"/>
    <s v="4227301507"/>
    <d v="2024-10-21T00:00:00"/>
    <n v="10"/>
    <x v="1"/>
    <n v="8850"/>
    <n v="8850"/>
    <n v="29"/>
    <x v="3"/>
    <s v="714852385"/>
  </r>
  <r>
    <s v="190001222"/>
    <s v="Sesatha Service Center"/>
    <x v="4"/>
    <x v="4"/>
    <s v="4227301649"/>
    <d v="2024-10-22T00:00:00"/>
    <n v="10"/>
    <x v="1"/>
    <n v="28320"/>
    <n v="28320"/>
    <n v="28"/>
    <x v="3"/>
    <s v="714852385"/>
  </r>
  <r>
    <s v="190001225"/>
    <s v="Delgoda Battery &amp; Tyre Works"/>
    <x v="4"/>
    <x v="4"/>
    <s v="4227272279"/>
    <d v="2024-02-26T00:00:00"/>
    <n v="2"/>
    <x v="1"/>
    <n v="5900"/>
    <n v="5900"/>
    <n v="267"/>
    <x v="988"/>
    <s v="773723354"/>
  </r>
  <r>
    <s v="190001226"/>
    <s v="Premachandra Garage"/>
    <x v="4"/>
    <x v="4"/>
    <s v="4227257152"/>
    <d v="2023-10-07T00:00:00"/>
    <n v="10"/>
    <x v="0"/>
    <n v="67620"/>
    <n v="67620"/>
    <n v="409"/>
    <x v="121"/>
    <s v="602198322"/>
  </r>
  <r>
    <s v="190001226"/>
    <s v="Premachandra Garage"/>
    <x v="4"/>
    <x v="4"/>
    <s v="4227257324"/>
    <d v="2023-10-07T00:00:00"/>
    <n v="10"/>
    <x v="0"/>
    <n v="76521"/>
    <n v="1569"/>
    <n v="409"/>
    <x v="1113"/>
    <s v="602198322"/>
  </r>
  <r>
    <s v="190001271"/>
    <s v="Sampath Body Work"/>
    <x v="4"/>
    <x v="4"/>
    <s v="4227128966"/>
    <d v="2020-01-07T00:00:00"/>
    <n v="1"/>
    <x v="3"/>
    <n v="1566"/>
    <n v="1566"/>
    <n v="1778"/>
    <x v="1114"/>
    <s v="767664487"/>
  </r>
  <r>
    <s v="190001272"/>
    <s v="Thilakarathna Garage"/>
    <x v="4"/>
    <x v="4"/>
    <s v="4227282643"/>
    <d v="2024-05-31T00:00:00"/>
    <n v="5"/>
    <x v="1"/>
    <n v="39506"/>
    <n v="39506"/>
    <n v="172"/>
    <x v="1115"/>
    <s v="112837264"/>
  </r>
  <r>
    <s v="190001272"/>
    <s v="Thilakarathna Garage"/>
    <x v="4"/>
    <x v="4"/>
    <s v="4227283607"/>
    <d v="2024-06-12T00:00:00"/>
    <n v="6"/>
    <x v="1"/>
    <n v="69384"/>
    <n v="69384"/>
    <n v="160"/>
    <x v="37"/>
    <s v="112837264"/>
  </r>
  <r>
    <s v="190001272"/>
    <s v="Thilakarathna Garage"/>
    <x v="4"/>
    <x v="4"/>
    <s v="4227286627"/>
    <d v="2024-07-08T00:00:00"/>
    <n v="7"/>
    <x v="1"/>
    <n v="36698"/>
    <n v="36698"/>
    <n v="134"/>
    <x v="1116"/>
    <s v="112837264"/>
  </r>
  <r>
    <s v="190001272"/>
    <s v="Thilakarathna Garage"/>
    <x v="4"/>
    <x v="4"/>
    <s v="4227289239"/>
    <d v="2024-07-26T00:00:00"/>
    <n v="7"/>
    <x v="1"/>
    <n v="23128"/>
    <n v="23128"/>
    <n v="116"/>
    <x v="1117"/>
    <s v="112837264"/>
  </r>
  <r>
    <s v="190001273"/>
    <s v="Rathnasiri Motors - Dompe"/>
    <x v="4"/>
    <x v="4"/>
    <s v="4227208366"/>
    <d v="2022-03-29T00:00:00"/>
    <n v="3"/>
    <x v="6"/>
    <n v="28728"/>
    <n v="17748"/>
    <n v="966"/>
    <x v="1118"/>
    <s v="775830848"/>
  </r>
  <r>
    <s v="190001273"/>
    <s v="Rathnasiri Motors - Dompe"/>
    <x v="4"/>
    <x v="4"/>
    <s v="4227273664"/>
    <d v="2024-03-06T00:00:00"/>
    <n v="3"/>
    <x v="1"/>
    <n v="19824"/>
    <n v="17159"/>
    <n v="258"/>
    <x v="1119"/>
    <s v="775830848"/>
  </r>
  <r>
    <s v="190001274"/>
    <s v="Chandana Motors"/>
    <x v="4"/>
    <x v="4"/>
    <s v="4227242940"/>
    <d v="2023-05-30T00:00:00"/>
    <n v="5"/>
    <x v="0"/>
    <n v="35650"/>
    <n v="35650"/>
    <n v="539"/>
    <x v="1120"/>
    <s v="779230324"/>
  </r>
  <r>
    <s v="190001277"/>
    <s v="Upul Motor Garage"/>
    <x v="4"/>
    <x v="4"/>
    <s v="4227304487"/>
    <d v="2024-10-31T00:00:00"/>
    <n v="10"/>
    <x v="1"/>
    <n v="9794"/>
    <n v="9794"/>
    <n v="19"/>
    <x v="3"/>
    <s v="112409666"/>
  </r>
  <r>
    <s v="190001284"/>
    <s v="D. S. Car Detailing Centre"/>
    <x v="4"/>
    <x v="4"/>
    <s v="4227186182"/>
    <d v="2021-09-18T00:00:00"/>
    <n v="9"/>
    <x v="4"/>
    <n v="8640"/>
    <n v="8640"/>
    <n v="1158"/>
    <x v="1121"/>
    <s v="0770772091"/>
  </r>
  <r>
    <s v="190001284"/>
    <s v="D. S. Car Detailing Centre"/>
    <x v="4"/>
    <x v="4"/>
    <s v="4227186614"/>
    <d v="2021-09-24T00:00:00"/>
    <n v="9"/>
    <x v="4"/>
    <n v="4320"/>
    <n v="4320"/>
    <n v="1152"/>
    <x v="1122"/>
    <s v="0770772091"/>
  </r>
  <r>
    <s v="190001407"/>
    <s v="Colour House"/>
    <x v="4"/>
    <x v="4"/>
    <s v="4227221928"/>
    <d v="2022-09-30T00:00:00"/>
    <n v="9"/>
    <x v="6"/>
    <n v="31050"/>
    <n v="10050"/>
    <n v="781"/>
    <x v="1123"/>
    <s v="332222892"/>
  </r>
  <r>
    <s v="190001407"/>
    <s v="Colour House"/>
    <x v="4"/>
    <x v="4"/>
    <s v="4227222007"/>
    <d v="2022-09-30T00:00:00"/>
    <n v="9"/>
    <x v="6"/>
    <n v="37519"/>
    <n v="37519"/>
    <n v="781"/>
    <x v="1124"/>
    <s v="332222892"/>
  </r>
  <r>
    <s v="190001407"/>
    <s v="Colour House"/>
    <x v="4"/>
    <x v="4"/>
    <s v="4227229396"/>
    <d v="2023-01-02T00:00:00"/>
    <n v="1"/>
    <x v="0"/>
    <n v="85997"/>
    <n v="85997"/>
    <n v="687"/>
    <x v="1125"/>
    <s v="332222892"/>
  </r>
  <r>
    <s v="190001410"/>
    <s v="Glitz Park (Pvt) Ltd"/>
    <x v="4"/>
    <x v="4"/>
    <s v="16-02-01983"/>
    <d v="2016-02-29T00:00:00"/>
    <n v="2"/>
    <x v="2"/>
    <n v="25200"/>
    <n v="8740.9699999999993"/>
    <n v="3186"/>
    <x v="1126"/>
    <s v="334934514"/>
  </r>
  <r>
    <s v="190001410"/>
    <s v="Glitz Park (Pvt) Ltd"/>
    <x v="4"/>
    <x v="4"/>
    <s v="16-03-01779"/>
    <d v="2016-03-25T00:00:00"/>
    <n v="3"/>
    <x v="2"/>
    <n v="19500"/>
    <n v="17997.7"/>
    <n v="3161"/>
    <x v="1127"/>
    <s v="334934514"/>
  </r>
  <r>
    <s v="190001410"/>
    <s v="Glitz Park (Pvt) Ltd"/>
    <x v="4"/>
    <x v="4"/>
    <s v="16-04-01365"/>
    <d v="2016-04-26T00:00:00"/>
    <n v="4"/>
    <x v="2"/>
    <n v="14000"/>
    <n v="4250"/>
    <n v="3129"/>
    <x v="1128"/>
    <s v="334934514"/>
  </r>
  <r>
    <s v="190001410"/>
    <s v="Glitz Park (Pvt) Ltd"/>
    <x v="4"/>
    <x v="4"/>
    <s v="4227006537"/>
    <d v="2016-07-26T00:00:00"/>
    <n v="7"/>
    <x v="2"/>
    <n v="17865"/>
    <n v="4000.25"/>
    <n v="3038"/>
    <x v="1129"/>
    <s v="334934514"/>
  </r>
  <r>
    <s v="190001410"/>
    <s v="Glitz Park (Pvt) Ltd"/>
    <x v="4"/>
    <x v="4"/>
    <s v="4227009259"/>
    <d v="2016-08-26T00:00:00"/>
    <n v="8"/>
    <x v="2"/>
    <n v="875"/>
    <n v="875"/>
    <n v="3007"/>
    <x v="1130"/>
    <s v="334934514"/>
  </r>
  <r>
    <s v="190001410"/>
    <s v="Glitz Park (Pvt) Ltd"/>
    <x v="4"/>
    <x v="4"/>
    <s v="4227018567"/>
    <d v="2016-12-20T00:00:00"/>
    <n v="12"/>
    <x v="2"/>
    <n v="17800"/>
    <n v="17800"/>
    <n v="2891"/>
    <x v="1131"/>
    <s v="334934514"/>
  </r>
  <r>
    <s v="190001410"/>
    <s v="Glitz Park (Pvt) Ltd"/>
    <x v="4"/>
    <x v="4"/>
    <s v="4227053688"/>
    <d v="2018-01-29T00:00:00"/>
    <n v="1"/>
    <x v="2"/>
    <n v="1346"/>
    <n v="1319.62"/>
    <n v="2486"/>
    <x v="1132"/>
    <s v="334934514"/>
  </r>
  <r>
    <s v="190001410"/>
    <s v="Glitz Park (Pvt) Ltd"/>
    <x v="4"/>
    <x v="4"/>
    <s v="4227066606"/>
    <d v="2018-05-31T00:00:00"/>
    <n v="5"/>
    <x v="2"/>
    <n v="5951"/>
    <n v="5951"/>
    <n v="2364"/>
    <x v="1133"/>
    <s v="334934514"/>
  </r>
  <r>
    <s v="190001410"/>
    <s v="Glitz Park (Pvt) Ltd"/>
    <x v="4"/>
    <x v="4"/>
    <s v="4227096430"/>
    <d v="2019-03-07T00:00:00"/>
    <n v="3"/>
    <x v="5"/>
    <n v="36500"/>
    <n v="36500"/>
    <n v="2084"/>
    <x v="1134"/>
    <s v="334934514"/>
  </r>
  <r>
    <s v="190001410"/>
    <s v="Glitz Park (Pvt) Ltd"/>
    <x v="4"/>
    <x v="4"/>
    <s v="4227106079"/>
    <d v="2019-06-19T00:00:00"/>
    <n v="6"/>
    <x v="5"/>
    <n v="17480"/>
    <n v="17480"/>
    <n v="1980"/>
    <x v="1135"/>
    <s v="334934514"/>
  </r>
  <r>
    <s v="190001410"/>
    <s v="Glitz Park (Pvt) Ltd"/>
    <x v="4"/>
    <x v="4"/>
    <s v="4227108990"/>
    <d v="2019-07-15T00:00:00"/>
    <n v="7"/>
    <x v="5"/>
    <n v="21528"/>
    <n v="21528"/>
    <n v="1954"/>
    <x v="1136"/>
    <s v="334934514"/>
  </r>
  <r>
    <s v="190001410"/>
    <s v="Glitz Park (Pvt) Ltd"/>
    <x v="4"/>
    <x v="4"/>
    <s v="4227119144"/>
    <d v="2019-10-10T00:00:00"/>
    <n v="10"/>
    <x v="5"/>
    <n v="140053"/>
    <n v="24529.75"/>
    <n v="1867"/>
    <x v="1137"/>
    <s v="334934514"/>
  </r>
  <r>
    <s v="190001411"/>
    <s v="Glitz Park Trading Company  (Pvt)"/>
    <x v="4"/>
    <x v="4"/>
    <s v="4227048453"/>
    <d v="2017-12-06T00:00:00"/>
    <n v="12"/>
    <x v="2"/>
    <n v="2049"/>
    <n v="2049"/>
    <n v="2540"/>
    <x v="1138"/>
    <s v="334934512"/>
  </r>
  <r>
    <s v="190001413"/>
    <s v="Jayora Hardware"/>
    <x v="4"/>
    <x v="4"/>
    <s v="4227294935"/>
    <d v="2024-08-31T00:00:00"/>
    <n v="8"/>
    <x v="1"/>
    <n v="38142"/>
    <n v="38142"/>
    <n v="80"/>
    <x v="3"/>
    <s v="333339523"/>
  </r>
  <r>
    <s v="190001416"/>
    <s v="Lanka Auto Mart"/>
    <x v="4"/>
    <x v="4"/>
    <s v="4227283763"/>
    <d v="2024-06-13T00:00:00"/>
    <n v="6"/>
    <x v="1"/>
    <n v="10412"/>
    <n v="10412"/>
    <n v="159"/>
    <x v="1139"/>
    <s v="773723833"/>
  </r>
  <r>
    <s v="190001416"/>
    <s v="Lanka Auto Mart"/>
    <x v="4"/>
    <x v="4"/>
    <s v="4227283852"/>
    <d v="2024-06-14T00:00:00"/>
    <n v="6"/>
    <x v="1"/>
    <n v="50466"/>
    <n v="50466"/>
    <n v="158"/>
    <x v="1140"/>
    <s v="773723833"/>
  </r>
  <r>
    <s v="190001416"/>
    <s v="Lanka Auto Mart"/>
    <x v="4"/>
    <x v="4"/>
    <s v="4227284021"/>
    <d v="2024-06-17T00:00:00"/>
    <n v="6"/>
    <x v="1"/>
    <n v="19824"/>
    <n v="19824"/>
    <n v="155"/>
    <x v="1141"/>
    <s v="773723833"/>
  </r>
  <r>
    <s v="190001416"/>
    <s v="Lanka Auto Mart"/>
    <x v="4"/>
    <x v="4"/>
    <s v="4227284022"/>
    <d v="2024-06-17T00:00:00"/>
    <n v="6"/>
    <x v="1"/>
    <n v="18880"/>
    <n v="18880"/>
    <n v="155"/>
    <x v="1142"/>
    <s v="773723833"/>
  </r>
  <r>
    <s v="190001416"/>
    <s v="Lanka Auto Mart"/>
    <x v="4"/>
    <x v="4"/>
    <s v="4227290032"/>
    <d v="2024-07-31T00:00:00"/>
    <n v="7"/>
    <x v="1"/>
    <n v="6046"/>
    <n v="6046"/>
    <n v="111"/>
    <x v="1143"/>
    <s v="773723833"/>
  </r>
  <r>
    <s v="190001416"/>
    <s v="Lanka Auto Mart"/>
    <x v="4"/>
    <x v="4"/>
    <s v="4227291461"/>
    <d v="2024-08-09T00:00:00"/>
    <n v="8"/>
    <x v="1"/>
    <n v="29926"/>
    <n v="29926"/>
    <n v="102"/>
    <x v="1144"/>
    <s v="773723833"/>
  </r>
  <r>
    <s v="190001416"/>
    <s v="Lanka Auto Mart"/>
    <x v="4"/>
    <x v="4"/>
    <s v="4227298598"/>
    <d v="2024-09-30T00:00:00"/>
    <n v="9"/>
    <x v="1"/>
    <n v="29992"/>
    <n v="29992"/>
    <n v="50"/>
    <x v="3"/>
    <s v="773723833"/>
  </r>
  <r>
    <s v="190001416"/>
    <s v="Lanka Auto Mart"/>
    <x v="4"/>
    <x v="4"/>
    <s v="4227298599"/>
    <d v="2024-09-30T00:00:00"/>
    <n v="9"/>
    <x v="1"/>
    <n v="11328"/>
    <n v="11328"/>
    <n v="50"/>
    <x v="3"/>
    <s v="773723833"/>
  </r>
  <r>
    <s v="190001416"/>
    <s v="Lanka Auto Mart"/>
    <x v="4"/>
    <x v="4"/>
    <s v="4227303086"/>
    <d v="2024-10-30T00:00:00"/>
    <n v="10"/>
    <x v="1"/>
    <n v="27527"/>
    <n v="27527"/>
    <n v="20"/>
    <x v="3"/>
    <s v="773723833"/>
  </r>
  <r>
    <s v="190001416"/>
    <s v="Lanka Auto Mart"/>
    <x v="4"/>
    <x v="4"/>
    <s v="4227304382"/>
    <d v="2024-10-31T00:00:00"/>
    <n v="10"/>
    <x v="1"/>
    <n v="53100"/>
    <n v="53100"/>
    <n v="19"/>
    <x v="3"/>
    <s v="773723833"/>
  </r>
  <r>
    <s v="190001416"/>
    <s v="Lanka Auto Mart"/>
    <x v="4"/>
    <x v="4"/>
    <s v="4227304383"/>
    <d v="2024-10-31T00:00:00"/>
    <n v="10"/>
    <x v="1"/>
    <n v="12443"/>
    <n v="12443"/>
    <n v="19"/>
    <x v="3"/>
    <s v="773723833"/>
  </r>
  <r>
    <s v="190001416"/>
    <s v="Lanka Auto Mart"/>
    <x v="4"/>
    <x v="4"/>
    <s v="4227304386"/>
    <d v="2024-10-31T00:00:00"/>
    <n v="10"/>
    <x v="1"/>
    <n v="24214"/>
    <n v="24214"/>
    <n v="19"/>
    <x v="3"/>
    <s v="773723833"/>
  </r>
  <r>
    <s v="190001416"/>
    <s v="Lanka Auto Mart"/>
    <x v="4"/>
    <x v="4"/>
    <s v="4227304387"/>
    <d v="2024-10-31T00:00:00"/>
    <n v="10"/>
    <x v="1"/>
    <n v="6162"/>
    <n v="6162"/>
    <n v="19"/>
    <x v="3"/>
    <s v="773723833"/>
  </r>
  <r>
    <s v="190001416"/>
    <s v="Lanka Auto Mart"/>
    <x v="4"/>
    <x v="4"/>
    <s v="4227304388"/>
    <d v="2024-10-31T00:00:00"/>
    <n v="10"/>
    <x v="1"/>
    <n v="29417"/>
    <n v="29417"/>
    <n v="19"/>
    <x v="3"/>
    <s v="773723833"/>
  </r>
  <r>
    <s v="190001416"/>
    <s v="Lanka Auto Mart"/>
    <x v="4"/>
    <x v="4"/>
    <s v="4227305217"/>
    <d v="2024-11-08T00:00:00"/>
    <n v="11"/>
    <x v="1"/>
    <n v="8284"/>
    <n v="8284"/>
    <n v="11"/>
    <x v="3"/>
    <s v="773723833"/>
  </r>
  <r>
    <s v="190001417"/>
    <s v="Maldeniya Motors"/>
    <x v="4"/>
    <x v="4"/>
    <s v="16-02-00423"/>
    <d v="2016-02-10T00:00:00"/>
    <n v="2"/>
    <x v="2"/>
    <n v="8550"/>
    <n v="8550"/>
    <n v="3205"/>
    <x v="1145"/>
    <s v="714918273"/>
  </r>
  <r>
    <s v="190001417"/>
    <s v="Maldeniya Motors"/>
    <x v="4"/>
    <x v="4"/>
    <s v="220500"/>
    <d v="2024-03-21T00:00:00"/>
    <n v="3"/>
    <x v="1"/>
    <n v="-490"/>
    <n v="-490"/>
    <n v="243"/>
    <x v="1146"/>
    <s v="714918273"/>
  </r>
  <r>
    <s v="190001417"/>
    <s v="Maldeniya Motors"/>
    <x v="4"/>
    <x v="4"/>
    <s v="4227275876"/>
    <d v="2024-03-26T00:00:00"/>
    <n v="3"/>
    <x v="1"/>
    <n v="7104"/>
    <n v="7104"/>
    <n v="238"/>
    <x v="1147"/>
    <s v="714918273"/>
  </r>
  <r>
    <s v="190001417"/>
    <s v="Maldeniya Motors"/>
    <x v="4"/>
    <x v="4"/>
    <s v="4227275877"/>
    <d v="2024-03-26T00:00:00"/>
    <n v="3"/>
    <x v="1"/>
    <n v="7222"/>
    <n v="7222"/>
    <n v="238"/>
    <x v="1148"/>
    <s v="714918273"/>
  </r>
  <r>
    <s v="190001417"/>
    <s v="Maldeniya Motors"/>
    <x v="4"/>
    <x v="4"/>
    <s v="4227275965"/>
    <d v="2024-03-26T00:00:00"/>
    <n v="3"/>
    <x v="1"/>
    <n v="27516"/>
    <n v="27516"/>
    <n v="238"/>
    <x v="1149"/>
    <s v="714918273"/>
  </r>
  <r>
    <s v="190001417"/>
    <s v="Maldeniya Motors"/>
    <x v="4"/>
    <x v="4"/>
    <s v="4227277625"/>
    <d v="2024-04-17T00:00:00"/>
    <n v="4"/>
    <x v="1"/>
    <n v="73750"/>
    <n v="53750"/>
    <n v="216"/>
    <x v="1150"/>
    <s v="714918273"/>
  </r>
  <r>
    <s v="190001417"/>
    <s v="Maldeniya Motors"/>
    <x v="4"/>
    <x v="4"/>
    <s v="4227277667"/>
    <d v="2024-04-18T00:00:00"/>
    <n v="4"/>
    <x v="1"/>
    <n v="21240"/>
    <n v="21240"/>
    <n v="215"/>
    <x v="598"/>
    <s v="714918273"/>
  </r>
  <r>
    <s v="190001417"/>
    <s v="Maldeniya Motors"/>
    <x v="4"/>
    <x v="4"/>
    <s v="4227281093"/>
    <d v="2024-05-20T00:00:00"/>
    <n v="5"/>
    <x v="1"/>
    <n v="280"/>
    <n v="280"/>
    <n v="183"/>
    <x v="1151"/>
    <s v="714918273"/>
  </r>
  <r>
    <s v="190001417"/>
    <s v="Maldeniya Motors"/>
    <x v="4"/>
    <x v="4"/>
    <s v="4227281662"/>
    <d v="2024-05-28T00:00:00"/>
    <n v="5"/>
    <x v="1"/>
    <n v="280"/>
    <n v="280"/>
    <n v="175"/>
    <x v="1151"/>
    <s v="714918273"/>
  </r>
  <r>
    <s v="190001417"/>
    <s v="Maldeniya Motors"/>
    <x v="4"/>
    <x v="4"/>
    <s v="4227283314"/>
    <d v="2024-06-10T00:00:00"/>
    <n v="6"/>
    <x v="1"/>
    <n v="1398"/>
    <n v="1398"/>
    <n v="162"/>
    <x v="1152"/>
    <s v="714918273"/>
  </r>
  <r>
    <s v="190001417"/>
    <s v="Maldeniya Motors"/>
    <x v="4"/>
    <x v="4"/>
    <s v="4227284592"/>
    <d v="2024-06-24T00:00:00"/>
    <n v="6"/>
    <x v="1"/>
    <n v="255"/>
    <n v="255"/>
    <n v="148"/>
    <x v="997"/>
    <s v="714918273"/>
  </r>
  <r>
    <s v="190001419"/>
    <s v="Navodya Auto Service"/>
    <x v="4"/>
    <x v="4"/>
    <s v="RTN CHQ -951098"/>
    <d v="2018-11-01T00:00:00"/>
    <n v="11"/>
    <x v="2"/>
    <n v="29558"/>
    <n v="5531"/>
    <n v="2210"/>
    <x v="1153"/>
    <s v="782068138"/>
  </r>
  <r>
    <s v="190001419"/>
    <s v="Navodya Auto Service"/>
    <x v="4"/>
    <x v="4"/>
    <s v="121664 - 002204"/>
    <d v="2019-08-19T00:00:00"/>
    <n v="8"/>
    <x v="5"/>
    <n v="-530"/>
    <n v="-530"/>
    <n v="1919"/>
    <x v="1154"/>
    <s v="782068138"/>
  </r>
  <r>
    <s v="190001419"/>
    <s v="Navodya Auto Service"/>
    <x v="4"/>
    <x v="4"/>
    <s v="4227272957"/>
    <d v="2024-02-29T00:00:00"/>
    <n v="2"/>
    <x v="1"/>
    <n v="18125"/>
    <n v="18125"/>
    <n v="264"/>
    <x v="681"/>
    <s v="782068138"/>
  </r>
  <r>
    <s v="190001420"/>
    <s v="Osani Service Station"/>
    <x v="4"/>
    <x v="4"/>
    <s v="4227062687"/>
    <d v="2018-04-26T00:00:00"/>
    <n v="4"/>
    <x v="2"/>
    <n v="27065"/>
    <n v="10401"/>
    <n v="2399"/>
    <x v="1155"/>
    <s v="712769727"/>
  </r>
  <r>
    <s v="190001422"/>
    <s v="Sanka Auto"/>
    <x v="4"/>
    <x v="4"/>
    <s v="4227126990"/>
    <d v="2019-12-18T00:00:00"/>
    <n v="12"/>
    <x v="5"/>
    <n v="35413"/>
    <n v="1786"/>
    <n v="1798"/>
    <x v="1156"/>
    <s v="729199933"/>
  </r>
  <r>
    <s v="190001422"/>
    <s v="Sanka Auto"/>
    <x v="4"/>
    <x v="4"/>
    <s v="4227136308"/>
    <d v="2020-03-10T00:00:00"/>
    <n v="3"/>
    <x v="3"/>
    <n v="8105"/>
    <n v="5667"/>
    <n v="1715"/>
    <x v="1157"/>
    <s v="729199933"/>
  </r>
  <r>
    <s v="190001422"/>
    <s v="Sanka Auto"/>
    <x v="4"/>
    <x v="4"/>
    <s v="4227221830"/>
    <d v="2022-09-30T00:00:00"/>
    <n v="9"/>
    <x v="6"/>
    <n v="65458"/>
    <n v="65458"/>
    <n v="781"/>
    <x v="1158"/>
    <s v="729199933"/>
  </r>
  <r>
    <s v="190001431"/>
    <s v="Rasika Motors - Gampaha"/>
    <x v="4"/>
    <x v="4"/>
    <s v="4227034315"/>
    <d v="2017-06-30T00:00:00"/>
    <n v="6"/>
    <x v="2"/>
    <n v="124324"/>
    <n v="74324"/>
    <n v="2699"/>
    <x v="1159"/>
    <s v="719313846"/>
  </r>
  <r>
    <s v="190001431"/>
    <s v="Rasika Motors - Gampaha"/>
    <x v="4"/>
    <x v="4"/>
    <s v="4227045852"/>
    <d v="2017-11-13T00:00:00"/>
    <n v="11"/>
    <x v="2"/>
    <n v="24581"/>
    <n v="24581"/>
    <n v="2563"/>
    <x v="1160"/>
    <s v="719313846"/>
  </r>
  <r>
    <s v="190001431"/>
    <s v="Rasika Motors - Gampaha"/>
    <x v="4"/>
    <x v="4"/>
    <s v="4227045854"/>
    <d v="2017-11-13T00:00:00"/>
    <n v="11"/>
    <x v="2"/>
    <n v="36639"/>
    <n v="25419"/>
    <n v="2563"/>
    <x v="1161"/>
    <s v="719313846"/>
  </r>
  <r>
    <s v="190001431"/>
    <s v="Rasika Motors - Gampaha"/>
    <x v="4"/>
    <x v="4"/>
    <s v="4227135167"/>
    <d v="2020-02-27T00:00:00"/>
    <n v="2"/>
    <x v="3"/>
    <n v="34409"/>
    <n v="676"/>
    <n v="1727"/>
    <x v="1162"/>
    <s v="719313846"/>
  </r>
  <r>
    <s v="190001470"/>
    <s v="Sanjaya Motor Traders"/>
    <x v="4"/>
    <x v="4"/>
    <s v="4227289904"/>
    <d v="2024-07-30T00:00:00"/>
    <n v="7"/>
    <x v="1"/>
    <n v="10762"/>
    <n v="10762"/>
    <n v="112"/>
    <x v="748"/>
    <s v="773000505"/>
  </r>
  <r>
    <s v="190001470"/>
    <s v="Sanjaya Motor Traders"/>
    <x v="4"/>
    <x v="4"/>
    <s v="4227290977"/>
    <d v="2024-08-05T00:00:00"/>
    <n v="8"/>
    <x v="1"/>
    <n v="28320"/>
    <n v="28320"/>
    <n v="106"/>
    <x v="353"/>
    <s v="773000505"/>
  </r>
  <r>
    <s v="190001470"/>
    <s v="Sanjaya Motor Traders"/>
    <x v="4"/>
    <x v="4"/>
    <s v="4227304482"/>
    <d v="2024-10-31T00:00:00"/>
    <n v="10"/>
    <x v="1"/>
    <n v="24886"/>
    <n v="24886"/>
    <n v="19"/>
    <x v="3"/>
    <s v="773000505"/>
  </r>
  <r>
    <s v="190001480"/>
    <s v="B. P. P. International"/>
    <x v="4"/>
    <x v="4"/>
    <s v="4227078792"/>
    <d v="2018-09-20T00:00:00"/>
    <n v="9"/>
    <x v="2"/>
    <n v="11811"/>
    <n v="985"/>
    <n v="2252"/>
    <x v="1163"/>
    <s v="774309055"/>
  </r>
  <r>
    <s v="190001484"/>
    <s v="Jayampathi Motors"/>
    <x v="4"/>
    <x v="4"/>
    <s v="4227220361"/>
    <d v="2022-09-16T00:00:00"/>
    <n v="9"/>
    <x v="6"/>
    <n v="16519"/>
    <n v="16519"/>
    <n v="795"/>
    <x v="1164"/>
    <s v=""/>
  </r>
  <r>
    <s v="190001486"/>
    <s v="M.S Motors"/>
    <x v="4"/>
    <x v="4"/>
    <s v="4227137366"/>
    <d v="2020-05-11T00:00:00"/>
    <n v="5"/>
    <x v="3"/>
    <n v="4585"/>
    <n v="2214"/>
    <n v="1653"/>
    <x v="1165"/>
    <s v="332239450"/>
  </r>
  <r>
    <s v="190001543"/>
    <s v="Nawa Arunaloka Auto Laundry &amp;"/>
    <x v="4"/>
    <x v="4"/>
    <s v="4227281248"/>
    <d v="2024-05-21T00:00:00"/>
    <n v="5"/>
    <x v="1"/>
    <n v="9054"/>
    <n v="9054"/>
    <n v="182"/>
    <x v="1166"/>
    <s v="332262217"/>
  </r>
  <r>
    <s v="190001543"/>
    <s v="Nawa Arunaloka Auto Laundry &amp;"/>
    <x v="4"/>
    <x v="4"/>
    <s v="4227281522"/>
    <d v="2024-05-27T00:00:00"/>
    <n v="5"/>
    <x v="1"/>
    <n v="6457"/>
    <n v="6457"/>
    <n v="176"/>
    <x v="1167"/>
    <s v="332262217"/>
  </r>
  <r>
    <s v="190001560"/>
    <s v="Suranga Motors"/>
    <x v="4"/>
    <x v="4"/>
    <s v="4227296825"/>
    <d v="2024-09-20T00:00:00"/>
    <n v="9"/>
    <x v="1"/>
    <n v="6490"/>
    <n v="6490"/>
    <n v="60"/>
    <x v="3"/>
    <s v=""/>
  </r>
  <r>
    <s v="190001676"/>
    <s v="Padmasiri Auto Service"/>
    <x v="4"/>
    <x v="4"/>
    <s v="4227298600"/>
    <d v="2024-09-30T00:00:00"/>
    <n v="9"/>
    <x v="1"/>
    <n v="16520"/>
    <n v="16520"/>
    <n v="50"/>
    <x v="3"/>
    <s v="714630063"/>
  </r>
  <r>
    <s v="190001676"/>
    <s v="Padmasiri Auto Service"/>
    <x v="4"/>
    <x v="4"/>
    <s v="4227298601"/>
    <d v="2024-09-30T00:00:00"/>
    <n v="9"/>
    <x v="1"/>
    <n v="9440"/>
    <n v="9440"/>
    <n v="50"/>
    <x v="3"/>
    <s v="714630063"/>
  </r>
  <r>
    <s v="190001681"/>
    <s v="Karunarathne Service"/>
    <x v="4"/>
    <x v="4"/>
    <s v="4227056688"/>
    <d v="2018-02-26T00:00:00"/>
    <n v="2"/>
    <x v="2"/>
    <n v="11799"/>
    <n v="6438"/>
    <n v="2458"/>
    <x v="392"/>
    <s v="337917588"/>
  </r>
  <r>
    <s v="190001681"/>
    <s v="Karunarathne Service"/>
    <x v="4"/>
    <x v="4"/>
    <s v="4227056689"/>
    <d v="2018-02-26T00:00:00"/>
    <n v="2"/>
    <x v="2"/>
    <n v="25220"/>
    <n v="16764.84"/>
    <n v="2458"/>
    <x v="1168"/>
    <s v="337917588"/>
  </r>
  <r>
    <s v="190001682"/>
    <s v="Ruwan Motors Ltd"/>
    <x v="4"/>
    <x v="4"/>
    <s v="4227274060"/>
    <d v="2024-03-11T00:00:00"/>
    <n v="3"/>
    <x v="1"/>
    <n v="8935"/>
    <n v="1564"/>
    <n v="253"/>
    <x v="1169"/>
    <s v="332255934"/>
  </r>
  <r>
    <s v="190001682"/>
    <s v="Ruwan Motors Ltd"/>
    <x v="4"/>
    <x v="4"/>
    <s v="4227290739"/>
    <d v="2024-07-31T00:00:00"/>
    <n v="7"/>
    <x v="1"/>
    <n v="78354"/>
    <n v="53354"/>
    <n v="111"/>
    <x v="1170"/>
    <s v="332255934"/>
  </r>
  <r>
    <s v="190001683"/>
    <s v="Karunarathna Motors - Hengama"/>
    <x v="4"/>
    <x v="4"/>
    <s v="121666 - 109871"/>
    <d v="2019-09-02T00:00:00"/>
    <n v="9"/>
    <x v="5"/>
    <n v="-700"/>
    <n v="-700"/>
    <n v="1905"/>
    <x v="1171"/>
    <s v="334944082"/>
  </r>
  <r>
    <s v="190001683"/>
    <s v="Karunarathna Motors - Hengama"/>
    <x v="4"/>
    <x v="4"/>
    <s v="4227114837"/>
    <d v="2019-09-03T00:00:00"/>
    <n v="9"/>
    <x v="5"/>
    <n v="10764"/>
    <n v="256"/>
    <n v="1904"/>
    <x v="1172"/>
    <s v="334944082"/>
  </r>
  <r>
    <s v="190001683"/>
    <s v="Karunarathna Motors - Hengama"/>
    <x v="4"/>
    <x v="4"/>
    <s v="4227123523"/>
    <d v="2019-11-21T00:00:00"/>
    <n v="11"/>
    <x v="5"/>
    <n v="29900"/>
    <n v="29900"/>
    <n v="1825"/>
    <x v="909"/>
    <s v="334944082"/>
  </r>
  <r>
    <s v="190001683"/>
    <s v="Karunarathna Motors - Hengama"/>
    <x v="4"/>
    <x v="4"/>
    <s v="4227125640"/>
    <d v="2019-12-06T00:00:00"/>
    <n v="12"/>
    <x v="5"/>
    <n v="4739"/>
    <n v="4739"/>
    <n v="1810"/>
    <x v="1173"/>
    <s v="334944082"/>
  </r>
  <r>
    <s v="190001683"/>
    <s v="Karunarathna Motors - Hengama"/>
    <x v="4"/>
    <x v="4"/>
    <s v="4227125971"/>
    <d v="2019-12-10T00:00:00"/>
    <n v="12"/>
    <x v="5"/>
    <n v="11372"/>
    <n v="11372"/>
    <n v="1806"/>
    <x v="1174"/>
    <s v="334944082"/>
  </r>
  <r>
    <s v="190001683"/>
    <s v="Karunarathna Motors - Hengama"/>
    <x v="4"/>
    <x v="4"/>
    <s v="4227126069"/>
    <d v="2019-12-10T00:00:00"/>
    <n v="12"/>
    <x v="5"/>
    <n v="3758"/>
    <n v="3758"/>
    <n v="1806"/>
    <x v="1175"/>
    <s v="334944082"/>
  </r>
  <r>
    <s v="190001683"/>
    <s v="Karunarathna Motors - Hengama"/>
    <x v="4"/>
    <x v="4"/>
    <s v="4227126070"/>
    <d v="2019-12-10T00:00:00"/>
    <n v="12"/>
    <x v="5"/>
    <n v="4352"/>
    <n v="4352"/>
    <n v="1806"/>
    <x v="1176"/>
    <s v="334944082"/>
  </r>
  <r>
    <s v="190001683"/>
    <s v="Karunarathna Motors - Hengama"/>
    <x v="4"/>
    <x v="4"/>
    <s v="4227126072"/>
    <d v="2019-12-10T00:00:00"/>
    <n v="12"/>
    <x v="5"/>
    <n v="4806"/>
    <n v="4806"/>
    <n v="1806"/>
    <x v="1177"/>
    <s v="334944082"/>
  </r>
  <r>
    <s v="190001683"/>
    <s v="Karunarathna Motors - Hengama"/>
    <x v="4"/>
    <x v="4"/>
    <s v="4227126073"/>
    <d v="2019-12-10T00:00:00"/>
    <n v="12"/>
    <x v="5"/>
    <n v="2624"/>
    <n v="2624"/>
    <n v="1806"/>
    <x v="1178"/>
    <s v="334944082"/>
  </r>
  <r>
    <s v="190001683"/>
    <s v="Karunarathna Motors - Hengama"/>
    <x v="4"/>
    <x v="4"/>
    <s v="4227126482"/>
    <d v="2019-12-16T00:00:00"/>
    <n v="12"/>
    <x v="5"/>
    <n v="1728"/>
    <n v="1728"/>
    <n v="1800"/>
    <x v="349"/>
    <s v="334944082"/>
  </r>
  <r>
    <s v="190001683"/>
    <s v="Karunarathna Motors - Hengama"/>
    <x v="4"/>
    <x v="4"/>
    <s v="4227126978"/>
    <d v="2019-12-18T00:00:00"/>
    <n v="12"/>
    <x v="5"/>
    <n v="4739"/>
    <n v="4739"/>
    <n v="1798"/>
    <x v="1173"/>
    <s v="334944082"/>
  </r>
  <r>
    <s v="190001683"/>
    <s v="Karunarathna Motors - Hengama"/>
    <x v="4"/>
    <x v="4"/>
    <s v="4227128331"/>
    <d v="2019-12-31T00:00:00"/>
    <n v="12"/>
    <x v="5"/>
    <n v="11372"/>
    <n v="11372"/>
    <n v="1785"/>
    <x v="1174"/>
    <s v="334944082"/>
  </r>
  <r>
    <s v="190001683"/>
    <s v="Karunarathna Motors - Hengama"/>
    <x v="4"/>
    <x v="4"/>
    <s v="4227145400"/>
    <d v="2020-07-29T00:00:00"/>
    <n v="7"/>
    <x v="3"/>
    <n v="22398"/>
    <n v="22398"/>
    <n v="1574"/>
    <x v="1179"/>
    <s v="334944082"/>
  </r>
  <r>
    <s v="190001683"/>
    <s v="Karunarathna Motors - Hengama"/>
    <x v="4"/>
    <x v="4"/>
    <s v="4227145646"/>
    <d v="2020-07-30T00:00:00"/>
    <n v="7"/>
    <x v="3"/>
    <n v="11372"/>
    <n v="11372"/>
    <n v="1573"/>
    <x v="1174"/>
    <s v="334944082"/>
  </r>
  <r>
    <s v="190001685"/>
    <s v="Duvindu Motors"/>
    <x v="4"/>
    <x v="4"/>
    <s v="4227287696"/>
    <d v="2024-07-17T00:00:00"/>
    <n v="7"/>
    <x v="1"/>
    <n v="3269"/>
    <n v="3269"/>
    <n v="125"/>
    <x v="1180"/>
    <s v="0777736250"/>
  </r>
  <r>
    <s v="190001685"/>
    <s v="Duvindu Motors"/>
    <x v="4"/>
    <x v="4"/>
    <s v="4227291356"/>
    <d v="2024-08-08T00:00:00"/>
    <n v="8"/>
    <x v="1"/>
    <n v="2832"/>
    <n v="0"/>
    <n v="103"/>
    <x v="345"/>
    <s v="0777736250"/>
  </r>
  <r>
    <s v="190001685"/>
    <s v="Duvindu Motors"/>
    <x v="4"/>
    <x v="4"/>
    <s v="4227291695"/>
    <d v="2024-08-12T00:00:00"/>
    <n v="8"/>
    <x v="1"/>
    <n v="59000"/>
    <n v="59000"/>
    <n v="99"/>
    <x v="1181"/>
    <s v="0777736250"/>
  </r>
  <r>
    <s v="190001930"/>
    <s v="Suntec Clean Park"/>
    <x v="4"/>
    <x v="4"/>
    <s v="4227178398"/>
    <d v="2021-06-11T00:00:00"/>
    <n v="6"/>
    <x v="4"/>
    <n v="23355"/>
    <n v="23355"/>
    <n v="1257"/>
    <x v="1182"/>
    <s v="777317171"/>
  </r>
  <r>
    <s v="190001930"/>
    <s v="Suntec Clean Park"/>
    <x v="4"/>
    <x v="4"/>
    <s v="4227180017"/>
    <d v="2021-07-06T00:00:00"/>
    <n v="7"/>
    <x v="4"/>
    <n v="43740"/>
    <n v="43740"/>
    <n v="1232"/>
    <x v="1183"/>
    <s v="777317171"/>
  </r>
  <r>
    <s v="190001930"/>
    <s v="Suntec Clean Park"/>
    <x v="4"/>
    <x v="4"/>
    <s v="4227181032"/>
    <d v="2021-07-15T00:00:00"/>
    <n v="7"/>
    <x v="4"/>
    <n v="27014"/>
    <n v="27014"/>
    <n v="1223"/>
    <x v="1184"/>
    <s v="777317171"/>
  </r>
  <r>
    <s v="190001930"/>
    <s v="Suntec Clean Park"/>
    <x v="4"/>
    <x v="4"/>
    <s v="4227190054"/>
    <d v="2021-10-26T00:00:00"/>
    <n v="10"/>
    <x v="4"/>
    <n v="4860"/>
    <n v="4860"/>
    <n v="1120"/>
    <x v="958"/>
    <s v="777317171"/>
  </r>
  <r>
    <s v="190001992"/>
    <s v="Nalinda Motors"/>
    <x v="4"/>
    <x v="4"/>
    <s v="4227227552"/>
    <d v="2022-12-09T00:00:00"/>
    <n v="12"/>
    <x v="6"/>
    <n v="6645"/>
    <n v="2215"/>
    <n v="711"/>
    <x v="1185"/>
    <s v="773718713"/>
  </r>
  <r>
    <s v="190002047"/>
    <s v="Car Fashion"/>
    <x v="4"/>
    <x v="4"/>
    <s v="4227287342"/>
    <d v="2024-07-15T00:00:00"/>
    <n v="7"/>
    <x v="1"/>
    <n v="12001"/>
    <n v="12001"/>
    <n v="127"/>
    <x v="1186"/>
    <s v="777820109"/>
  </r>
  <r>
    <s v="190002061"/>
    <s v="N. K. Motors"/>
    <x v="4"/>
    <x v="4"/>
    <s v="4227305726"/>
    <d v="2024-11-13T00:00:00"/>
    <n v="11"/>
    <x v="1"/>
    <n v="8260"/>
    <n v="8260"/>
    <n v="6"/>
    <x v="3"/>
    <s v="723381920"/>
  </r>
  <r>
    <s v="190002061"/>
    <s v="N. K. Motors"/>
    <x v="4"/>
    <x v="4"/>
    <s v="4227305839"/>
    <d v="2024-11-14T00:00:00"/>
    <n v="11"/>
    <x v="1"/>
    <n v="8260"/>
    <n v="8260"/>
    <n v="5"/>
    <x v="3"/>
    <s v="723381920"/>
  </r>
  <r>
    <s v="190002432"/>
    <s v="Sepro Lanka Auto Service"/>
    <x v="4"/>
    <x v="4"/>
    <s v="4227037695"/>
    <d v="2017-08-15T00:00:00"/>
    <n v="8"/>
    <x v="2"/>
    <n v="18929"/>
    <n v="18929"/>
    <n v="2653"/>
    <x v="1187"/>
    <s v=""/>
  </r>
  <r>
    <s v="190002432"/>
    <s v="Sepro Lanka Auto Service"/>
    <x v="4"/>
    <x v="4"/>
    <s v="4227172424"/>
    <d v="2021-03-30T00:00:00"/>
    <n v="3"/>
    <x v="4"/>
    <n v="21751"/>
    <n v="18079"/>
    <n v="1330"/>
    <x v="1188"/>
    <s v=""/>
  </r>
  <r>
    <s v="190002432"/>
    <s v="Sepro Lanka Auto Service"/>
    <x v="4"/>
    <x v="4"/>
    <s v="4227172425"/>
    <d v="2021-03-30T00:00:00"/>
    <n v="3"/>
    <x v="4"/>
    <n v="6480"/>
    <n v="6480"/>
    <n v="1330"/>
    <x v="231"/>
    <s v=""/>
  </r>
  <r>
    <s v="190002432"/>
    <s v="Sepro Lanka Auto Service"/>
    <x v="4"/>
    <x v="4"/>
    <s v="4227172491"/>
    <d v="2021-03-30T00:00:00"/>
    <n v="3"/>
    <x v="4"/>
    <n v="2916"/>
    <n v="2916"/>
    <n v="1330"/>
    <x v="1189"/>
    <s v=""/>
  </r>
  <r>
    <s v="190002611"/>
    <s v="New Yasitha Auto Service &amp; Garage"/>
    <x v="4"/>
    <x v="4"/>
    <s v="4227295382"/>
    <d v="2024-09-03T00:00:00"/>
    <n v="9"/>
    <x v="1"/>
    <n v="14797"/>
    <n v="14797"/>
    <n v="77"/>
    <x v="3"/>
    <s v="776147126"/>
  </r>
  <r>
    <s v="190002612"/>
    <s v="Siyane Service Station"/>
    <x v="4"/>
    <x v="4"/>
    <s v="4227196721"/>
    <d v="2021-12-21T00:00:00"/>
    <n v="12"/>
    <x v="4"/>
    <n v="19725"/>
    <n v="19725"/>
    <n v="1064"/>
    <x v="1190"/>
    <s v="777423429"/>
  </r>
  <r>
    <s v="190002616"/>
    <s v="Sampath Motors"/>
    <x v="4"/>
    <x v="4"/>
    <s v="4227252406"/>
    <d v="2023-08-31T00:00:00"/>
    <n v="8"/>
    <x v="0"/>
    <n v="9660"/>
    <n v="9660"/>
    <n v="446"/>
    <x v="540"/>
    <s v="332269491"/>
  </r>
  <r>
    <s v="190002616"/>
    <s v="Sampath Motors"/>
    <x v="4"/>
    <x v="4"/>
    <s v="4227253200"/>
    <d v="2023-09-06T00:00:00"/>
    <n v="9"/>
    <x v="0"/>
    <n v="489"/>
    <n v="489"/>
    <n v="440"/>
    <x v="1191"/>
    <s v="332269491"/>
  </r>
  <r>
    <s v="190003044"/>
    <s v="Auto Star Motors"/>
    <x v="4"/>
    <x v="4"/>
    <s v="4227274316"/>
    <d v="2024-03-12T00:00:00"/>
    <n v="3"/>
    <x v="1"/>
    <n v="57603"/>
    <n v="27603"/>
    <n v="252"/>
    <x v="1192"/>
    <s v="777874867"/>
  </r>
  <r>
    <s v="190003044"/>
    <s v="Auto Star Motors"/>
    <x v="4"/>
    <x v="4"/>
    <s v="4227276471"/>
    <d v="2024-03-28T00:00:00"/>
    <n v="3"/>
    <x v="1"/>
    <n v="36108"/>
    <n v="2397"/>
    <n v="236"/>
    <x v="1193"/>
    <s v="777874867"/>
  </r>
  <r>
    <s v="190003044"/>
    <s v="Auto Star Motors"/>
    <x v="4"/>
    <x v="4"/>
    <s v="4227302618"/>
    <d v="2024-10-28T00:00:00"/>
    <n v="10"/>
    <x v="1"/>
    <n v="18408"/>
    <n v="18408"/>
    <n v="22"/>
    <x v="3"/>
    <s v="777874867"/>
  </r>
  <r>
    <s v="190003044"/>
    <s v="Auto Star Motors"/>
    <x v="4"/>
    <x v="4"/>
    <s v="4227302619"/>
    <d v="2024-10-28T00:00:00"/>
    <n v="10"/>
    <x v="1"/>
    <n v="18408"/>
    <n v="18408"/>
    <n v="22"/>
    <x v="3"/>
    <s v="777874867"/>
  </r>
  <r>
    <s v="190003045"/>
    <s v="Dilhara Service Station"/>
    <x v="4"/>
    <x v="4"/>
    <s v="225177 / 960651"/>
    <d v="2024-06-18T00:00:00"/>
    <n v="6"/>
    <x v="1"/>
    <n v="-605"/>
    <n v="-605"/>
    <n v="154"/>
    <x v="1194"/>
    <s v="112963225"/>
  </r>
  <r>
    <s v="190003045"/>
    <s v="Dilhara Service Station"/>
    <x v="4"/>
    <x v="4"/>
    <s v="234721 / 960873"/>
    <d v="2024-11-18T00:00:00"/>
    <n v="11"/>
    <x v="1"/>
    <n v="-1"/>
    <n v="-1"/>
    <n v="1"/>
    <x v="3"/>
    <s v="112963225"/>
  </r>
  <r>
    <s v="190003045"/>
    <s v="Dilhara Service Station"/>
    <x v="4"/>
    <x v="4"/>
    <s v="4227218191"/>
    <d v="2022-08-24T00:00:00"/>
    <n v="8"/>
    <x v="6"/>
    <n v="38304"/>
    <n v="38304"/>
    <n v="818"/>
    <x v="1195"/>
    <s v="112963225"/>
  </r>
  <r>
    <s v="190003045"/>
    <s v="Dilhara Service Station"/>
    <x v="4"/>
    <x v="4"/>
    <s v="4227223678"/>
    <d v="2022-10-26T00:00:00"/>
    <n v="10"/>
    <x v="6"/>
    <n v="6320"/>
    <n v="6320"/>
    <n v="755"/>
    <x v="1196"/>
    <s v="112963225"/>
  </r>
  <r>
    <s v="190003045"/>
    <s v="Dilhara Service Station"/>
    <x v="4"/>
    <x v="4"/>
    <s v="4227272146"/>
    <d v="2024-02-26T00:00:00"/>
    <n v="2"/>
    <x v="1"/>
    <n v="26196"/>
    <n v="604"/>
    <n v="267"/>
    <x v="1197"/>
    <s v="112963225"/>
  </r>
  <r>
    <s v="190003045"/>
    <s v="Dilhara Service Station"/>
    <x v="4"/>
    <x v="4"/>
    <s v="4227272162"/>
    <d v="2024-02-26T00:00:00"/>
    <n v="2"/>
    <x v="1"/>
    <n v="63720"/>
    <n v="63720"/>
    <n v="267"/>
    <x v="1198"/>
    <s v="112963225"/>
  </r>
  <r>
    <s v="190003045"/>
    <s v="Dilhara Service Station"/>
    <x v="4"/>
    <x v="4"/>
    <s v="4227298582"/>
    <d v="2024-09-30T00:00:00"/>
    <n v="9"/>
    <x v="1"/>
    <n v="14868"/>
    <n v="14868"/>
    <n v="50"/>
    <x v="3"/>
    <s v="112963225"/>
  </r>
  <r>
    <s v="190003045"/>
    <s v="Dilhara Service Station"/>
    <x v="4"/>
    <x v="4"/>
    <s v="5227015957"/>
    <d v="2024-11-18T00:00:00"/>
    <n v="11"/>
    <x v="1"/>
    <n v="-63720"/>
    <n v="-63720"/>
    <n v="1"/>
    <x v="3"/>
    <s v="112963225"/>
  </r>
  <r>
    <s v="190003050"/>
    <s v="Oshika Auto"/>
    <x v="4"/>
    <x v="4"/>
    <s v="4227238375"/>
    <d v="2023-04-06T00:00:00"/>
    <n v="4"/>
    <x v="0"/>
    <n v="41788"/>
    <n v="9729.0400000000009"/>
    <n v="593"/>
    <x v="1199"/>
    <s v="113046229"/>
  </r>
  <r>
    <s v="190003050"/>
    <s v="Oshika Auto"/>
    <x v="4"/>
    <x v="4"/>
    <s v="4227299746"/>
    <d v="2024-10-08T00:00:00"/>
    <n v="10"/>
    <x v="1"/>
    <n v="17429"/>
    <n v="17429"/>
    <n v="42"/>
    <x v="3"/>
    <s v="113046229"/>
  </r>
  <r>
    <s v="190003050"/>
    <s v="Oshika Auto"/>
    <x v="4"/>
    <x v="4"/>
    <s v="4227303096"/>
    <d v="2024-10-30T00:00:00"/>
    <n v="10"/>
    <x v="1"/>
    <n v="15576"/>
    <n v="15576"/>
    <n v="20"/>
    <x v="3"/>
    <s v="113046229"/>
  </r>
  <r>
    <s v="190003050"/>
    <s v="Oshika Auto"/>
    <x v="4"/>
    <x v="4"/>
    <s v="4227303097"/>
    <d v="2024-10-30T00:00:00"/>
    <n v="10"/>
    <x v="1"/>
    <n v="7257"/>
    <n v="7257"/>
    <n v="20"/>
    <x v="3"/>
    <s v="113046229"/>
  </r>
  <r>
    <s v="190003112"/>
    <s v="Sasvi Automobile"/>
    <x v="4"/>
    <x v="4"/>
    <s v="4227281543"/>
    <d v="2024-05-27T00:00:00"/>
    <n v="5"/>
    <x v="1"/>
    <n v="99545"/>
    <n v="6719.28"/>
    <n v="176"/>
    <x v="1200"/>
    <s v="776722842"/>
  </r>
  <r>
    <s v="190003112"/>
    <s v="Sasvi Automobile"/>
    <x v="4"/>
    <x v="4"/>
    <s v="4227285369"/>
    <d v="2024-06-28T00:00:00"/>
    <n v="6"/>
    <x v="1"/>
    <n v="62546"/>
    <n v="12744"/>
    <n v="144"/>
    <x v="1201"/>
    <s v="776722842"/>
  </r>
  <r>
    <s v="190003112"/>
    <s v="Sasvi Automobile"/>
    <x v="4"/>
    <x v="4"/>
    <s v="4227292110"/>
    <d v="2024-08-14T00:00:00"/>
    <n v="8"/>
    <x v="1"/>
    <n v="56640"/>
    <n v="4291"/>
    <n v="97"/>
    <x v="1202"/>
    <s v="776722842"/>
  </r>
  <r>
    <s v="190003310"/>
    <s v="Bandara Motors - Mawaramandiya"/>
    <x v="4"/>
    <x v="4"/>
    <s v="4227296829"/>
    <d v="2024-09-20T00:00:00"/>
    <n v="9"/>
    <x v="1"/>
    <n v="6667"/>
    <n v="6667"/>
    <n v="60"/>
    <x v="3"/>
    <s v="779388417"/>
  </r>
  <r>
    <s v="190003567"/>
    <s v="Achini Motors"/>
    <x v="4"/>
    <x v="4"/>
    <s v="4227281010"/>
    <d v="2024-05-17T00:00:00"/>
    <n v="5"/>
    <x v="1"/>
    <n v="64570"/>
    <n v="64570"/>
    <n v="186"/>
    <x v="31"/>
    <s v="332687449"/>
  </r>
  <r>
    <s v="190003567"/>
    <s v="Achini Motors"/>
    <x v="4"/>
    <x v="4"/>
    <s v="4227282166"/>
    <d v="2024-05-30T00:00:00"/>
    <n v="5"/>
    <x v="1"/>
    <n v="24886"/>
    <n v="24886"/>
    <n v="173"/>
    <x v="954"/>
    <s v="332687449"/>
  </r>
  <r>
    <s v="190003567"/>
    <s v="Achini Motors"/>
    <x v="4"/>
    <x v="4"/>
    <s v="4227283760"/>
    <d v="2024-06-13T00:00:00"/>
    <n v="6"/>
    <x v="1"/>
    <n v="23010"/>
    <n v="23010"/>
    <n v="159"/>
    <x v="830"/>
    <s v="332687449"/>
  </r>
  <r>
    <s v="190003567"/>
    <s v="Achini Motors"/>
    <x v="4"/>
    <x v="4"/>
    <s v="4227283761"/>
    <d v="2024-06-13T00:00:00"/>
    <n v="6"/>
    <x v="1"/>
    <n v="13688"/>
    <n v="13688"/>
    <n v="159"/>
    <x v="1203"/>
    <s v="332687449"/>
  </r>
  <r>
    <s v="190003567"/>
    <s v="Achini Motors"/>
    <x v="4"/>
    <x v="4"/>
    <s v="4227303098"/>
    <d v="2024-10-30T00:00:00"/>
    <n v="10"/>
    <x v="1"/>
    <n v="99545"/>
    <n v="99545"/>
    <n v="20"/>
    <x v="3"/>
    <s v="332687449"/>
  </r>
  <r>
    <s v="190003567"/>
    <s v="Achini Motors"/>
    <x v="4"/>
    <x v="4"/>
    <s v="4227303099"/>
    <d v="2024-10-30T00:00:00"/>
    <n v="10"/>
    <x v="1"/>
    <n v="7434"/>
    <n v="7434"/>
    <n v="20"/>
    <x v="3"/>
    <s v="332687449"/>
  </r>
  <r>
    <s v="190003676"/>
    <s v="Ceylon Car Care"/>
    <x v="4"/>
    <x v="4"/>
    <s v="4227290692"/>
    <d v="2024-07-31T00:00:00"/>
    <n v="7"/>
    <x v="1"/>
    <n v="265500"/>
    <n v="200500"/>
    <n v="111"/>
    <x v="1204"/>
    <s v="777643652"/>
  </r>
  <r>
    <s v="190003676"/>
    <s v="Ceylon Car Care"/>
    <x v="4"/>
    <x v="4"/>
    <s v="4227305107"/>
    <d v="2024-11-07T00:00:00"/>
    <n v="11"/>
    <x v="1"/>
    <n v="17110"/>
    <n v="17110"/>
    <n v="12"/>
    <x v="3"/>
    <s v="777643652"/>
  </r>
  <r>
    <s v="190003678"/>
    <s v="Chaminda Motors"/>
    <x v="4"/>
    <x v="4"/>
    <s v="4227224752"/>
    <d v="2022-11-03T00:00:00"/>
    <n v="11"/>
    <x v="6"/>
    <n v="9129"/>
    <n v="5501"/>
    <n v="747"/>
    <x v="1205"/>
    <s v="770130230"/>
  </r>
  <r>
    <s v="190003679"/>
    <s v="Creative Auto Shine"/>
    <x v="4"/>
    <x v="4"/>
    <s v="4227257575"/>
    <d v="2023-10-09T00:00:00"/>
    <n v="10"/>
    <x v="0"/>
    <n v="14950"/>
    <n v="14950"/>
    <n v="407"/>
    <x v="1206"/>
    <s v="332289873"/>
  </r>
  <r>
    <s v="190003679"/>
    <s v="Creative Auto Shine"/>
    <x v="4"/>
    <x v="4"/>
    <s v="4227272630"/>
    <d v="2024-02-28T00:00:00"/>
    <n v="2"/>
    <x v="1"/>
    <n v="46055"/>
    <n v="5000"/>
    <n v="265"/>
    <x v="493"/>
    <s v="332289873"/>
  </r>
  <r>
    <s v="190003679"/>
    <s v="Creative Auto Shine"/>
    <x v="4"/>
    <x v="4"/>
    <s v="4227291444"/>
    <d v="2024-08-09T00:00:00"/>
    <n v="8"/>
    <x v="1"/>
    <n v="20739"/>
    <n v="20739"/>
    <n v="102"/>
    <x v="1207"/>
    <s v="332289873"/>
  </r>
  <r>
    <s v="190003679"/>
    <s v="Creative Auto Shine"/>
    <x v="4"/>
    <x v="4"/>
    <s v="4227291507"/>
    <d v="2024-08-09T00:00:00"/>
    <n v="8"/>
    <x v="1"/>
    <n v="56640"/>
    <n v="56640"/>
    <n v="102"/>
    <x v="330"/>
    <s v="332289873"/>
  </r>
  <r>
    <s v="190003679"/>
    <s v="Creative Auto Shine"/>
    <x v="4"/>
    <x v="4"/>
    <s v="4227296627"/>
    <d v="2024-09-18T00:00:00"/>
    <n v="9"/>
    <x v="1"/>
    <n v="28320"/>
    <n v="28320"/>
    <n v="62"/>
    <x v="3"/>
    <s v="332289873"/>
  </r>
  <r>
    <s v="190003679"/>
    <s v="Creative Auto Shine"/>
    <x v="4"/>
    <x v="4"/>
    <s v="5227014896"/>
    <d v="2024-05-14T00:00:00"/>
    <n v="5"/>
    <x v="1"/>
    <n v="-14950"/>
    <n v="-14950"/>
    <n v="189"/>
    <x v="1208"/>
    <s v="332289873"/>
  </r>
  <r>
    <s v="190003681"/>
    <s v="Dhakshina Paint Centre"/>
    <x v="4"/>
    <x v="4"/>
    <s v="4227028997"/>
    <d v="2017-04-27T00:00:00"/>
    <n v="4"/>
    <x v="2"/>
    <n v="21011"/>
    <n v="21011"/>
    <n v="2763"/>
    <x v="1209"/>
    <s v="777740183"/>
  </r>
  <r>
    <s v="190003686"/>
    <s v="Millenium Motors"/>
    <x v="4"/>
    <x v="4"/>
    <s v="4227167218"/>
    <d v="2021-02-20T00:00:00"/>
    <n v="2"/>
    <x v="4"/>
    <n v="6629"/>
    <n v="6629"/>
    <n v="1368"/>
    <x v="1210"/>
    <s v="773287340"/>
  </r>
  <r>
    <s v="190003686"/>
    <s v="Millenium Motors"/>
    <x v="4"/>
    <x v="4"/>
    <s v="4227169013"/>
    <d v="2021-03-08T00:00:00"/>
    <n v="3"/>
    <x v="4"/>
    <n v="2569"/>
    <n v="2569"/>
    <n v="1352"/>
    <x v="1211"/>
    <s v="773287340"/>
  </r>
  <r>
    <s v="190003693"/>
    <s v="Sampath Motors - Nittambuwa"/>
    <x v="4"/>
    <x v="4"/>
    <s v=""/>
    <d v="2024-03-27T00:00:00"/>
    <n v="3"/>
    <x v="1"/>
    <n v="-3796"/>
    <n v="-246"/>
    <n v="237"/>
    <x v="1212"/>
    <s v="773435889"/>
  </r>
  <r>
    <s v="190003693"/>
    <s v="Sampath Motors - Nittambuwa"/>
    <x v="4"/>
    <x v="4"/>
    <s v=""/>
    <d v="2023-04-18T00:00:00"/>
    <n v="4"/>
    <x v="0"/>
    <n v="-25175"/>
    <n v="-25175"/>
    <n v="581"/>
    <x v="1213"/>
    <s v="773435889"/>
  </r>
  <r>
    <s v="190003693"/>
    <s v="Sampath Motors - Nittambuwa"/>
    <x v="4"/>
    <x v="4"/>
    <s v=""/>
    <d v="2024-10-05T00:00:00"/>
    <n v="10"/>
    <x v="1"/>
    <n v="-11328"/>
    <n v="-11328"/>
    <n v="45"/>
    <x v="3"/>
    <s v="773435889"/>
  </r>
  <r>
    <s v="190003693"/>
    <s v="Sampath Motors - Nittambuwa"/>
    <x v="4"/>
    <x v="4"/>
    <s v="230219/658917"/>
    <d v="2024-09-11T00:00:00"/>
    <n v="9"/>
    <x v="1"/>
    <n v="-21179"/>
    <n v="-21179"/>
    <n v="69"/>
    <x v="3"/>
    <s v="773435889"/>
  </r>
  <r>
    <s v="190003693"/>
    <s v="Sampath Motors - Nittambuwa"/>
    <x v="4"/>
    <x v="4"/>
    <s v="4227282083"/>
    <d v="2024-05-30T00:00:00"/>
    <n v="5"/>
    <x v="1"/>
    <n v="143299"/>
    <n v="222"/>
    <n v="173"/>
    <x v="376"/>
    <s v="773435889"/>
  </r>
  <r>
    <s v="190003693"/>
    <s v="Sampath Motors - Nittambuwa"/>
    <x v="4"/>
    <x v="4"/>
    <s v="4227285371"/>
    <d v="2024-06-28T00:00:00"/>
    <n v="6"/>
    <x v="1"/>
    <n v="32285"/>
    <n v="32285"/>
    <n v="144"/>
    <x v="334"/>
    <s v="773435889"/>
  </r>
  <r>
    <s v="190003693"/>
    <s v="Sampath Motors - Nittambuwa"/>
    <x v="4"/>
    <x v="4"/>
    <s v="4227298038"/>
    <d v="2024-09-27T00:00:00"/>
    <n v="9"/>
    <x v="1"/>
    <n v="16579"/>
    <n v="16579"/>
    <n v="53"/>
    <x v="3"/>
    <s v="773435889"/>
  </r>
  <r>
    <s v="190003693"/>
    <s v="Sampath Motors - Nittambuwa"/>
    <x v="4"/>
    <x v="4"/>
    <s v="4227298039"/>
    <d v="2024-09-27T00:00:00"/>
    <n v="9"/>
    <x v="1"/>
    <n v="16308"/>
    <n v="16308"/>
    <n v="53"/>
    <x v="3"/>
    <s v="773435889"/>
  </r>
  <r>
    <s v="190003693"/>
    <s v="Sampath Motors - Nittambuwa"/>
    <x v="4"/>
    <x v="4"/>
    <s v="4227298040"/>
    <d v="2024-09-27T00:00:00"/>
    <n v="9"/>
    <x v="1"/>
    <n v="99545"/>
    <n v="99545"/>
    <n v="53"/>
    <x v="3"/>
    <s v="773435889"/>
  </r>
  <r>
    <s v="190003693"/>
    <s v="Sampath Motors - Nittambuwa"/>
    <x v="4"/>
    <x v="4"/>
    <s v="4227298943"/>
    <d v="2024-09-30T00:00:00"/>
    <n v="9"/>
    <x v="1"/>
    <n v="119459"/>
    <n v="119459"/>
    <n v="50"/>
    <x v="3"/>
    <s v="773435889"/>
  </r>
  <r>
    <s v="190003693"/>
    <s v="Sampath Motors - Nittambuwa"/>
    <x v="4"/>
    <x v="4"/>
    <s v="4227303100"/>
    <d v="2024-10-30T00:00:00"/>
    <n v="10"/>
    <x v="1"/>
    <n v="6797"/>
    <n v="6797"/>
    <n v="20"/>
    <x v="3"/>
    <s v="773435889"/>
  </r>
  <r>
    <s v="190003693"/>
    <s v="Sampath Motors - Nittambuwa"/>
    <x v="4"/>
    <x v="4"/>
    <s v="4227303101"/>
    <d v="2024-10-30T00:00:00"/>
    <n v="10"/>
    <x v="1"/>
    <n v="18012"/>
    <n v="18012"/>
    <n v="20"/>
    <x v="3"/>
    <s v="773435889"/>
  </r>
  <r>
    <s v="190003693"/>
    <s v="Sampath Motors - Nittambuwa"/>
    <x v="4"/>
    <x v="4"/>
    <s v="4227303875"/>
    <d v="2024-10-31T00:00:00"/>
    <n v="10"/>
    <x v="1"/>
    <n v="110108"/>
    <n v="110108"/>
    <n v="19"/>
    <x v="3"/>
    <s v="773435889"/>
  </r>
  <r>
    <s v="190003694"/>
    <s v="Shan Lube Service - Gampaha"/>
    <x v="4"/>
    <x v="4"/>
    <s v="16-03-01956"/>
    <d v="2016-03-28T00:00:00"/>
    <n v="3"/>
    <x v="2"/>
    <n v="18600"/>
    <n v="18600"/>
    <n v="3158"/>
    <x v="1214"/>
    <s v="332288946"/>
  </r>
  <r>
    <s v="190003694"/>
    <s v="Shan Lube Service - Gampaha"/>
    <x v="4"/>
    <x v="4"/>
    <s v="16-03-01958"/>
    <d v="2016-03-28T00:00:00"/>
    <n v="3"/>
    <x v="2"/>
    <n v="6700"/>
    <n v="6700"/>
    <n v="3158"/>
    <x v="1215"/>
    <s v="332288946"/>
  </r>
  <r>
    <s v="190003694"/>
    <s v="Shan Lube Service - Gampaha"/>
    <x v="4"/>
    <x v="4"/>
    <s v="16-01-01371"/>
    <d v="2016-01-20T00:00:00"/>
    <n v="1"/>
    <x v="2"/>
    <n v="4500"/>
    <n v="4500"/>
    <n v="3226"/>
    <x v="460"/>
    <s v="332288946"/>
  </r>
  <r>
    <s v="190003694"/>
    <s v="Shan Lube Service - Gampaha"/>
    <x v="4"/>
    <x v="4"/>
    <s v="16-01-01372"/>
    <d v="2016-01-20T00:00:00"/>
    <n v="1"/>
    <x v="2"/>
    <n v="20700"/>
    <n v="20700"/>
    <n v="3226"/>
    <x v="584"/>
    <s v="332288946"/>
  </r>
  <r>
    <s v="190003694"/>
    <s v="Shan Lube Service - Gampaha"/>
    <x v="4"/>
    <x v="4"/>
    <s v="16-01-02209"/>
    <d v="2016-01-29T00:00:00"/>
    <n v="1"/>
    <x v="2"/>
    <n v="50500"/>
    <n v="50500"/>
    <n v="3217"/>
    <x v="1216"/>
    <s v="332288946"/>
  </r>
  <r>
    <s v="190003694"/>
    <s v="Shan Lube Service - Gampaha"/>
    <x v="4"/>
    <x v="4"/>
    <s v="4227002125"/>
    <d v="2016-05-31T00:00:00"/>
    <n v="5"/>
    <x v="2"/>
    <n v="52449"/>
    <n v="52449"/>
    <n v="3094"/>
    <x v="1217"/>
    <s v="332288946"/>
  </r>
  <r>
    <s v="190003863"/>
    <s v="Nikini Motors - Pallewela"/>
    <x v="4"/>
    <x v="4"/>
    <s v="4227291614"/>
    <d v="2024-08-10T00:00:00"/>
    <n v="8"/>
    <x v="1"/>
    <n v="11328"/>
    <n v="11328"/>
    <n v="101"/>
    <x v="449"/>
    <s v="773517064"/>
  </r>
  <r>
    <s v="190003863"/>
    <s v="Nikini Motors - Pallewela"/>
    <x v="4"/>
    <x v="4"/>
    <s v="4227299448"/>
    <d v="2024-10-04T00:00:00"/>
    <n v="10"/>
    <x v="1"/>
    <n v="8496"/>
    <n v="8496"/>
    <n v="46"/>
    <x v="3"/>
    <s v="773517064"/>
  </r>
  <r>
    <s v="190003998"/>
    <s v="E. C. Auto Electriclal"/>
    <x v="4"/>
    <x v="4"/>
    <s v="4227298882"/>
    <d v="2024-09-30T00:00:00"/>
    <n v="9"/>
    <x v="1"/>
    <n v="7788"/>
    <n v="7788"/>
    <n v="50"/>
    <x v="3"/>
    <s v="0767536484"/>
  </r>
  <r>
    <s v="190004543"/>
    <s v="Isuru Motor Stores"/>
    <x v="4"/>
    <x v="4"/>
    <s v="4227232271"/>
    <d v="2023-01-30T00:00:00"/>
    <n v="1"/>
    <x v="0"/>
    <n v="14118"/>
    <n v="6200"/>
    <n v="659"/>
    <x v="1218"/>
    <s v="715648370"/>
  </r>
  <r>
    <s v="190004543"/>
    <s v="Isuru Motor Stores"/>
    <x v="4"/>
    <x v="4"/>
    <s v="4227233850"/>
    <d v="2023-02-13T00:00:00"/>
    <n v="2"/>
    <x v="0"/>
    <n v="6814"/>
    <n v="6814"/>
    <n v="645"/>
    <x v="1219"/>
    <s v="715648370"/>
  </r>
  <r>
    <s v="190004543"/>
    <s v="Isuru Motor Stores"/>
    <x v="4"/>
    <x v="4"/>
    <s v="4227234572"/>
    <d v="2023-02-23T00:00:00"/>
    <n v="2"/>
    <x v="0"/>
    <n v="1104"/>
    <n v="1104"/>
    <n v="635"/>
    <x v="1220"/>
    <s v="715648370"/>
  </r>
  <r>
    <s v="190004603"/>
    <s v="Dias Automobile"/>
    <x v="4"/>
    <x v="4"/>
    <s v="409"/>
    <d v="2023-07-31T00:00:00"/>
    <n v="7"/>
    <x v="0"/>
    <n v="-817"/>
    <n v="-817"/>
    <n v="477"/>
    <x v="1221"/>
    <s v="771638354"/>
  </r>
  <r>
    <s v="190004603"/>
    <s v="Dias Automobile"/>
    <x v="4"/>
    <x v="4"/>
    <s v="4227250793"/>
    <d v="2023-08-16T00:00:00"/>
    <n v="8"/>
    <x v="0"/>
    <n v="19044"/>
    <n v="5544"/>
    <n v="461"/>
    <x v="1222"/>
    <s v="771638354"/>
  </r>
  <r>
    <s v="190004603"/>
    <s v="Dias Automobile"/>
    <x v="4"/>
    <x v="4"/>
    <s v="4227273563"/>
    <d v="2024-03-05T00:00:00"/>
    <n v="3"/>
    <x v="1"/>
    <n v="661"/>
    <n v="661"/>
    <n v="259"/>
    <x v="1223"/>
    <s v="771638354"/>
  </r>
  <r>
    <s v="190004603"/>
    <s v="Dias Automobile"/>
    <x v="4"/>
    <x v="4"/>
    <s v="4227275019"/>
    <d v="2024-03-19T00:00:00"/>
    <n v="3"/>
    <x v="1"/>
    <n v="9027"/>
    <n v="4651"/>
    <n v="245"/>
    <x v="1224"/>
    <s v="771638354"/>
  </r>
  <r>
    <s v="190004603"/>
    <s v="Dias Automobile"/>
    <x v="4"/>
    <x v="4"/>
    <s v="4227283596"/>
    <d v="2024-06-12T00:00:00"/>
    <n v="6"/>
    <x v="1"/>
    <n v="676"/>
    <n v="676"/>
    <n v="160"/>
    <x v="1162"/>
    <s v="771638354"/>
  </r>
  <r>
    <s v="190004619"/>
    <s v="Nation Three Auto Treat"/>
    <x v="4"/>
    <x v="4"/>
    <s v="234707/096229"/>
    <d v="2024-09-19T00:00:00"/>
    <n v="9"/>
    <x v="1"/>
    <n v="-12186"/>
    <n v="-12186"/>
    <n v="61"/>
    <x v="3"/>
    <s v="332282023"/>
  </r>
  <r>
    <s v="190004619"/>
    <s v="Nation Three Auto Treat"/>
    <x v="4"/>
    <x v="4"/>
    <s v="4227280200"/>
    <d v="2024-05-13T00:00:00"/>
    <n v="5"/>
    <x v="1"/>
    <n v="1075"/>
    <n v="1075"/>
    <n v="190"/>
    <x v="1225"/>
    <s v="332282023"/>
  </r>
  <r>
    <s v="190004619"/>
    <s v="Nation Three Auto Treat"/>
    <x v="4"/>
    <x v="4"/>
    <s v="4227282991"/>
    <d v="2024-06-06T00:00:00"/>
    <n v="6"/>
    <x v="1"/>
    <n v="510"/>
    <n v="510"/>
    <n v="166"/>
    <x v="1226"/>
    <s v="332282023"/>
  </r>
  <r>
    <s v="190004619"/>
    <s v="Nation Three Auto Treat"/>
    <x v="4"/>
    <x v="4"/>
    <s v="4227283456"/>
    <d v="2024-06-11T00:00:00"/>
    <n v="6"/>
    <x v="1"/>
    <n v="255"/>
    <n v="255"/>
    <n v="161"/>
    <x v="997"/>
    <s v="332282023"/>
  </r>
  <r>
    <s v="190004619"/>
    <s v="Nation Three Auto Treat"/>
    <x v="4"/>
    <x v="4"/>
    <s v="4227283595"/>
    <d v="2024-06-12T00:00:00"/>
    <n v="6"/>
    <x v="1"/>
    <n v="493"/>
    <n v="493"/>
    <n v="160"/>
    <x v="1227"/>
    <s v="332282023"/>
  </r>
  <r>
    <s v="190004619"/>
    <s v="Nation Three Auto Treat"/>
    <x v="4"/>
    <x v="4"/>
    <s v="4227287704"/>
    <d v="2024-07-17T00:00:00"/>
    <n v="7"/>
    <x v="1"/>
    <n v="11033"/>
    <n v="11033"/>
    <n v="125"/>
    <x v="1228"/>
    <s v="332282023"/>
  </r>
  <r>
    <s v="190004619"/>
    <s v="Nation Three Auto Treat"/>
    <x v="4"/>
    <x v="4"/>
    <s v="4227297104"/>
    <d v="2024-09-20T00:00:00"/>
    <n v="9"/>
    <x v="1"/>
    <n v="5664"/>
    <n v="5664"/>
    <n v="60"/>
    <x v="3"/>
    <s v="332282023"/>
  </r>
  <r>
    <s v="190004775"/>
    <s v="Motor Cycle Doctor ( Pvt ) Ltd"/>
    <x v="4"/>
    <x v="4"/>
    <s v="4227275745"/>
    <d v="2024-03-25T00:00:00"/>
    <n v="3"/>
    <x v="1"/>
    <n v="12980"/>
    <n v="12980"/>
    <n v="239"/>
    <x v="1229"/>
    <s v=""/>
  </r>
  <r>
    <s v="190004775"/>
    <s v="Motor Cycle Doctor ( Pvt ) Ltd"/>
    <x v="4"/>
    <x v="4"/>
    <s v="4227284568"/>
    <d v="2024-06-22T00:00:00"/>
    <n v="6"/>
    <x v="1"/>
    <n v="12980"/>
    <n v="12980"/>
    <n v="150"/>
    <x v="1229"/>
    <s v=""/>
  </r>
  <r>
    <s v="190004788"/>
    <s v="Sirini Auto Service Station (Pvt) L"/>
    <x v="4"/>
    <x v="4"/>
    <s v="4227281392"/>
    <d v="2024-05-22T00:00:00"/>
    <n v="5"/>
    <x v="1"/>
    <n v="9499"/>
    <n v="3"/>
    <n v="181"/>
    <x v="1230"/>
    <s v="332255215"/>
  </r>
  <r>
    <s v="190004788"/>
    <s v="Sirini Auto Service Station (Pvt) L"/>
    <x v="4"/>
    <x v="4"/>
    <s v="4227296927"/>
    <d v="2024-09-20T00:00:00"/>
    <n v="9"/>
    <x v="1"/>
    <n v="1075"/>
    <n v="1075"/>
    <n v="60"/>
    <x v="3"/>
    <s v="332255215"/>
  </r>
  <r>
    <s v="190004788"/>
    <s v="Sirini Auto Service Station (Pvt) L"/>
    <x v="4"/>
    <x v="4"/>
    <s v="4227297531"/>
    <d v="2024-09-25T00:00:00"/>
    <n v="9"/>
    <x v="1"/>
    <n v="1075"/>
    <n v="1075"/>
    <n v="55"/>
    <x v="3"/>
    <s v="332255215"/>
  </r>
  <r>
    <s v="190004798"/>
    <s v="Priyantha Auto Engineers - Weliweri"/>
    <x v="4"/>
    <x v="4"/>
    <s v="4227152735"/>
    <d v="2020-09-30T00:00:00"/>
    <n v="9"/>
    <x v="3"/>
    <n v="23693"/>
    <n v="23693"/>
    <n v="1511"/>
    <x v="1231"/>
    <s v="0779690749"/>
  </r>
  <r>
    <s v="190004806"/>
    <s v="Udara Motors"/>
    <x v="4"/>
    <x v="4"/>
    <s v="4227282088"/>
    <d v="2024-05-30T00:00:00"/>
    <n v="5"/>
    <x v="1"/>
    <n v="28620"/>
    <n v="4520"/>
    <n v="173"/>
    <x v="1232"/>
    <s v="777870445"/>
  </r>
  <r>
    <s v="190004859"/>
    <s v="Front Line Car Accessories"/>
    <x v="4"/>
    <x v="4"/>
    <s v="4227235239"/>
    <d v="2023-02-28T00:00:00"/>
    <n v="2"/>
    <x v="0"/>
    <n v="9770"/>
    <n v="9770"/>
    <n v="630"/>
    <x v="1233"/>
    <s v="332248700"/>
  </r>
  <r>
    <s v="190004861"/>
    <s v="High Tech Diesel Engineering"/>
    <x v="4"/>
    <x v="4"/>
    <s v="4227290751"/>
    <d v="2024-07-31T00:00:00"/>
    <n v="7"/>
    <x v="1"/>
    <n v="56640"/>
    <n v="11640"/>
    <n v="111"/>
    <x v="1234"/>
    <s v="777802276"/>
  </r>
  <r>
    <s v="190004861"/>
    <s v="High Tech Diesel Engineering"/>
    <x v="4"/>
    <x v="4"/>
    <s v="4227303112"/>
    <d v="2024-10-30T00:00:00"/>
    <n v="10"/>
    <x v="1"/>
    <n v="3403"/>
    <n v="3403"/>
    <n v="20"/>
    <x v="3"/>
    <s v="777802276"/>
  </r>
  <r>
    <s v="190004862"/>
    <s v="Janik Holdings (Pvt) Ltd"/>
    <x v="4"/>
    <x v="4"/>
    <s v="4227119488"/>
    <d v="2019-10-15T00:00:00"/>
    <n v="10"/>
    <x v="5"/>
    <n v="23000"/>
    <n v="23000"/>
    <n v="1862"/>
    <x v="1235"/>
    <s v="0778470002"/>
  </r>
  <r>
    <s v="190004864"/>
    <s v="Lahiru Enterprises"/>
    <x v="4"/>
    <x v="4"/>
    <s v="16-02-01649"/>
    <d v="2016-02-25T00:00:00"/>
    <n v="2"/>
    <x v="2"/>
    <n v="11820.25"/>
    <n v="1171.25"/>
    <n v="3190"/>
    <x v="1236"/>
    <s v="332294235"/>
  </r>
  <r>
    <s v="190004866"/>
    <s v="M. A. C. Technology"/>
    <x v="4"/>
    <x v="4"/>
    <s v="4227275884"/>
    <d v="2024-03-26T00:00:00"/>
    <n v="3"/>
    <x v="1"/>
    <n v="8042"/>
    <n v="32"/>
    <n v="238"/>
    <x v="1237"/>
    <s v="719112925"/>
  </r>
  <r>
    <s v="190004867"/>
    <s v="M. U. S Motors"/>
    <x v="4"/>
    <x v="4"/>
    <s v="4227280010"/>
    <d v="2024-05-10T00:00:00"/>
    <n v="5"/>
    <x v="1"/>
    <n v="64570"/>
    <n v="64570"/>
    <n v="193"/>
    <x v="31"/>
    <s v="770440790"/>
  </r>
  <r>
    <s v="190004868"/>
    <s v="Mass Pro Vehicle Service Center"/>
    <x v="4"/>
    <x v="4"/>
    <s v="4227005875"/>
    <d v="2016-07-16T00:00:00"/>
    <n v="7"/>
    <x v="2"/>
    <n v="11040"/>
    <n v="1663.44"/>
    <n v="3048"/>
    <x v="1238"/>
    <s v="332226666"/>
  </r>
  <r>
    <s v="190004868"/>
    <s v="Mass Pro Vehicle Service Center"/>
    <x v="4"/>
    <x v="4"/>
    <s v="4227006477"/>
    <d v="2016-07-25T00:00:00"/>
    <n v="7"/>
    <x v="2"/>
    <n v="7350"/>
    <n v="7350"/>
    <n v="3039"/>
    <x v="1239"/>
    <s v="332226666"/>
  </r>
  <r>
    <s v="190004868"/>
    <s v="Mass Pro Vehicle Service Center"/>
    <x v="4"/>
    <x v="4"/>
    <s v="4227052508"/>
    <d v="2018-01-19T00:00:00"/>
    <n v="1"/>
    <x v="2"/>
    <n v="1840"/>
    <n v="1840"/>
    <n v="2496"/>
    <x v="1240"/>
    <s v="332226666"/>
  </r>
  <r>
    <s v="190004868"/>
    <s v="Mass Pro Vehicle Service Center"/>
    <x v="4"/>
    <x v="4"/>
    <s v="4227294770"/>
    <d v="2024-08-31T00:00:00"/>
    <n v="8"/>
    <x v="1"/>
    <n v="6797"/>
    <n v="6797"/>
    <n v="80"/>
    <x v="3"/>
    <s v="332226666"/>
  </r>
  <r>
    <s v="190004868"/>
    <s v="Mass Pro Vehicle Service Center"/>
    <x v="4"/>
    <x v="4"/>
    <s v="4227298583"/>
    <d v="2024-09-30T00:00:00"/>
    <n v="9"/>
    <x v="1"/>
    <n v="6797"/>
    <n v="6797"/>
    <n v="50"/>
    <x v="3"/>
    <s v="332226666"/>
  </r>
  <r>
    <s v="190004869"/>
    <s v="Nalinda Motors"/>
    <x v="4"/>
    <x v="4"/>
    <s v="4227089430"/>
    <d v="2018-12-27T00:00:00"/>
    <n v="12"/>
    <x v="2"/>
    <n v="6682"/>
    <n v="1813"/>
    <n v="2154"/>
    <x v="405"/>
    <s v="07776939945"/>
  </r>
  <r>
    <s v="190004869"/>
    <s v="Nalinda Motors"/>
    <x v="4"/>
    <x v="4"/>
    <s v="4227237383"/>
    <d v="2023-03-27T00:00:00"/>
    <n v="3"/>
    <x v="0"/>
    <n v="24375"/>
    <n v="1175"/>
    <n v="603"/>
    <x v="1241"/>
    <s v="07776939945"/>
  </r>
  <r>
    <s v="190004871"/>
    <s v="The Auto Lab"/>
    <x v="4"/>
    <x v="4"/>
    <s v="4227027415"/>
    <d v="2017-03-31T00:00:00"/>
    <n v="3"/>
    <x v="2"/>
    <n v="26419"/>
    <n v="26419"/>
    <n v="2790"/>
    <x v="1242"/>
    <s v="332295887"/>
  </r>
  <r>
    <s v="190004871"/>
    <s v="The Auto Lab"/>
    <x v="4"/>
    <x v="4"/>
    <s v="4227027425"/>
    <d v="2017-03-31T00:00:00"/>
    <n v="3"/>
    <x v="2"/>
    <n v="23311"/>
    <n v="23311"/>
    <n v="2790"/>
    <x v="1243"/>
    <s v="332295887"/>
  </r>
  <r>
    <s v="190004871"/>
    <s v="The Auto Lab"/>
    <x v="4"/>
    <x v="4"/>
    <s v="4227027432"/>
    <d v="2017-03-31T00:00:00"/>
    <n v="3"/>
    <x v="2"/>
    <n v="15758"/>
    <n v="15758"/>
    <n v="2790"/>
    <x v="1244"/>
    <s v="332295887"/>
  </r>
  <r>
    <s v="190004886"/>
    <s v="Maya Paint &amp; Electricals"/>
    <x v="4"/>
    <x v="4"/>
    <s v="4227177683"/>
    <d v="2021-05-25T00:00:00"/>
    <n v="5"/>
    <x v="4"/>
    <n v="35613"/>
    <n v="10800"/>
    <n v="1274"/>
    <x v="1245"/>
    <s v="332232100"/>
  </r>
  <r>
    <s v="190004886"/>
    <s v="Maya Paint &amp; Electricals"/>
    <x v="4"/>
    <x v="4"/>
    <s v="4227293838"/>
    <d v="2024-08-27T00:00:00"/>
    <n v="8"/>
    <x v="1"/>
    <n v="22116"/>
    <n v="22116"/>
    <n v="84"/>
    <x v="3"/>
    <s v="332232100"/>
  </r>
  <r>
    <s v="190004886"/>
    <s v="Maya Paint &amp; Electricals"/>
    <x v="4"/>
    <x v="4"/>
    <s v="4227294932"/>
    <d v="2024-08-31T00:00:00"/>
    <n v="8"/>
    <x v="1"/>
    <n v="25842"/>
    <n v="25842"/>
    <n v="80"/>
    <x v="3"/>
    <s v="332232100"/>
  </r>
  <r>
    <s v="190004967"/>
    <s v="Nissanka Advertising"/>
    <x v="4"/>
    <x v="4"/>
    <s v="4227165450"/>
    <d v="2021-02-09T00:00:00"/>
    <n v="2"/>
    <x v="4"/>
    <n v="8748"/>
    <n v="8748"/>
    <n v="1379"/>
    <x v="1246"/>
    <s v="777971574"/>
  </r>
  <r>
    <s v="190004971"/>
    <s v="Asian Motors _ Thihariya"/>
    <x v="4"/>
    <x v="4"/>
    <s v="4227133352"/>
    <d v="2020-02-13T00:00:00"/>
    <n v="2"/>
    <x v="3"/>
    <n v="28620"/>
    <n v="432"/>
    <n v="1741"/>
    <x v="1247"/>
    <s v="773131184"/>
  </r>
  <r>
    <s v="190004971"/>
    <s v="Asian Motors _ Thihariya"/>
    <x v="4"/>
    <x v="4"/>
    <s v="4227134656"/>
    <d v="2020-02-24T00:00:00"/>
    <n v="2"/>
    <x v="3"/>
    <n v="29160"/>
    <n v="29160"/>
    <n v="1730"/>
    <x v="1248"/>
    <s v="773131184"/>
  </r>
  <r>
    <s v="190004971"/>
    <s v="Asian Motors _ Thihariya"/>
    <x v="4"/>
    <x v="4"/>
    <s v="4227134978"/>
    <d v="2020-02-26T00:00:00"/>
    <n v="2"/>
    <x v="3"/>
    <n v="15012"/>
    <n v="15012"/>
    <n v="1728"/>
    <x v="1249"/>
    <s v="773131184"/>
  </r>
  <r>
    <s v="190004982"/>
    <s v="Shanka Auto Tinkering &amp; Painting"/>
    <x v="4"/>
    <x v="4"/>
    <s v="4227178391"/>
    <d v="2021-06-11T00:00:00"/>
    <n v="6"/>
    <x v="4"/>
    <n v="6415"/>
    <n v="6415"/>
    <n v="1257"/>
    <x v="1250"/>
    <s v="713470665"/>
  </r>
  <r>
    <s v="190004984"/>
    <s v="Sri Lanka Motors"/>
    <x v="4"/>
    <x v="4"/>
    <s v="4227278504"/>
    <d v="2024-04-29T00:00:00"/>
    <n v="4"/>
    <x v="1"/>
    <n v="32285"/>
    <n v="32285"/>
    <n v="204"/>
    <x v="334"/>
    <s v=""/>
  </r>
  <r>
    <s v="190004984"/>
    <s v="Sri Lanka Motors"/>
    <x v="4"/>
    <x v="4"/>
    <s v="4227278506"/>
    <d v="2024-04-29T00:00:00"/>
    <n v="4"/>
    <x v="1"/>
    <n v="32285"/>
    <n v="32285"/>
    <n v="204"/>
    <x v="334"/>
    <s v=""/>
  </r>
  <r>
    <s v="190004984"/>
    <s v="Sri Lanka Motors"/>
    <x v="4"/>
    <x v="4"/>
    <s v="4227282243"/>
    <d v="2024-05-31T00:00:00"/>
    <n v="5"/>
    <x v="1"/>
    <n v="16499"/>
    <n v="16499"/>
    <n v="172"/>
    <x v="1251"/>
    <s v=""/>
  </r>
  <r>
    <s v="190004984"/>
    <s v="Sri Lanka Motors"/>
    <x v="4"/>
    <x v="4"/>
    <s v="4227286343"/>
    <d v="2024-07-04T00:00:00"/>
    <n v="7"/>
    <x v="1"/>
    <n v="24886"/>
    <n v="24886"/>
    <n v="138"/>
    <x v="954"/>
    <s v=""/>
  </r>
  <r>
    <s v="190004984"/>
    <s v="Sri Lanka Motors"/>
    <x v="4"/>
    <x v="4"/>
    <s v="4227286447"/>
    <d v="2024-07-05T00:00:00"/>
    <n v="7"/>
    <x v="1"/>
    <n v="24886"/>
    <n v="24886"/>
    <n v="137"/>
    <x v="954"/>
    <s v=""/>
  </r>
  <r>
    <s v="190004984"/>
    <s v="Sri Lanka Motors"/>
    <x v="4"/>
    <x v="4"/>
    <s v="4227287876"/>
    <d v="2024-07-18T00:00:00"/>
    <n v="7"/>
    <x v="1"/>
    <n v="16591"/>
    <n v="16591"/>
    <n v="124"/>
    <x v="1252"/>
    <s v=""/>
  </r>
  <r>
    <s v="190004984"/>
    <s v="Sri Lanka Motors"/>
    <x v="4"/>
    <x v="4"/>
    <s v="4227290174"/>
    <d v="2024-07-31T00:00:00"/>
    <n v="7"/>
    <x v="1"/>
    <n v="24886"/>
    <n v="24886"/>
    <n v="111"/>
    <x v="954"/>
    <s v=""/>
  </r>
  <r>
    <s v="190004984"/>
    <s v="Sri Lanka Motors"/>
    <x v="4"/>
    <x v="4"/>
    <s v="4227294504"/>
    <d v="2024-08-30T00:00:00"/>
    <n v="8"/>
    <x v="1"/>
    <n v="24886"/>
    <n v="24886"/>
    <n v="81"/>
    <x v="3"/>
    <s v=""/>
  </r>
  <r>
    <s v="190004984"/>
    <s v="Sri Lanka Motors"/>
    <x v="4"/>
    <x v="4"/>
    <s v="4227297216"/>
    <d v="2024-09-20T00:00:00"/>
    <n v="9"/>
    <x v="1"/>
    <n v="58068"/>
    <n v="58068"/>
    <n v="60"/>
    <x v="3"/>
    <s v=""/>
  </r>
  <r>
    <s v="190004984"/>
    <s v="Sri Lanka Motors"/>
    <x v="4"/>
    <x v="4"/>
    <s v="4227297217"/>
    <d v="2024-09-20T00:00:00"/>
    <n v="9"/>
    <x v="1"/>
    <n v="58068"/>
    <n v="58068"/>
    <n v="60"/>
    <x v="3"/>
    <s v=""/>
  </r>
  <r>
    <s v="190004984"/>
    <s v="Sri Lanka Motors"/>
    <x v="4"/>
    <x v="4"/>
    <s v="4227298118"/>
    <d v="2024-09-28T00:00:00"/>
    <n v="9"/>
    <x v="1"/>
    <n v="41477"/>
    <n v="41477"/>
    <n v="52"/>
    <x v="3"/>
    <s v=""/>
  </r>
  <r>
    <s v="190004984"/>
    <s v="Sri Lanka Motors"/>
    <x v="4"/>
    <x v="4"/>
    <s v="4227298119"/>
    <d v="2024-09-28T00:00:00"/>
    <n v="9"/>
    <x v="1"/>
    <n v="41477"/>
    <n v="41477"/>
    <n v="52"/>
    <x v="3"/>
    <s v=""/>
  </r>
  <r>
    <s v="190004984"/>
    <s v="Sri Lanka Motors"/>
    <x v="4"/>
    <x v="4"/>
    <s v="4227301720"/>
    <d v="2024-10-22T00:00:00"/>
    <n v="10"/>
    <x v="1"/>
    <n v="120000"/>
    <n v="120000"/>
    <n v="28"/>
    <x v="3"/>
    <s v=""/>
  </r>
  <r>
    <s v="190004984"/>
    <s v="Sri Lanka Motors"/>
    <x v="4"/>
    <x v="4"/>
    <s v="5227015962"/>
    <d v="2024-11-18T00:00:00"/>
    <n v="11"/>
    <x v="1"/>
    <n v="-32285"/>
    <n v="-32285"/>
    <n v="1"/>
    <x v="3"/>
    <s v=""/>
  </r>
  <r>
    <s v="190004984"/>
    <s v="Sri Lanka Motors"/>
    <x v="4"/>
    <x v="4"/>
    <s v="5227015963"/>
    <d v="2024-11-18T00:00:00"/>
    <n v="11"/>
    <x v="1"/>
    <n v="-32285"/>
    <n v="-32285"/>
    <n v="1"/>
    <x v="3"/>
    <s v=""/>
  </r>
  <r>
    <s v="190004985"/>
    <s v="The Car Care"/>
    <x v="4"/>
    <x v="4"/>
    <s v="4227200235"/>
    <d v="2022-01-21T00:00:00"/>
    <n v="1"/>
    <x v="6"/>
    <n v="5832"/>
    <n v="5832"/>
    <n v="1033"/>
    <x v="250"/>
    <s v="779596156"/>
  </r>
  <r>
    <s v="190005635"/>
    <s v="Sampath Motors"/>
    <x v="4"/>
    <x v="4"/>
    <s v="4227041229"/>
    <d v="2017-09-21T00:00:00"/>
    <n v="9"/>
    <x v="2"/>
    <n v="18262"/>
    <n v="1262"/>
    <n v="2616"/>
    <x v="1253"/>
    <s v="332269491"/>
  </r>
  <r>
    <s v="190005635"/>
    <s v="Sampath Motors"/>
    <x v="4"/>
    <x v="4"/>
    <s v="4227048174"/>
    <d v="2017-11-30T00:00:00"/>
    <n v="11"/>
    <x v="2"/>
    <n v="14594"/>
    <n v="14594"/>
    <n v="2546"/>
    <x v="1254"/>
    <s v="332269491"/>
  </r>
  <r>
    <s v="190005720"/>
    <s v="A Green Park Service Station"/>
    <x v="4"/>
    <x v="4"/>
    <s v="168721/049244"/>
    <d v="2022-01-01T00:00:00"/>
    <n v="1"/>
    <x v="6"/>
    <n v="-917"/>
    <n v="-917"/>
    <n v="1053"/>
    <x v="1255"/>
    <s v="0777 777746"/>
  </r>
  <r>
    <s v="190005720"/>
    <s v="A Green Park Service Station"/>
    <x v="4"/>
    <x v="4"/>
    <s v="196537 / 103813"/>
    <d v="2023-03-29T00:00:00"/>
    <n v="3"/>
    <x v="0"/>
    <n v="-27080"/>
    <n v="-6680"/>
    <n v="601"/>
    <x v="1256"/>
    <s v="0777 777746"/>
  </r>
  <r>
    <s v="190005720"/>
    <s v="A Green Park Service Station"/>
    <x v="4"/>
    <x v="4"/>
    <s v="178399/067912"/>
    <d v="2022-05-25T00:00:00"/>
    <n v="5"/>
    <x v="6"/>
    <n v="-7710"/>
    <n v="-7710"/>
    <n v="909"/>
    <x v="1257"/>
    <s v="0777 777746"/>
  </r>
  <r>
    <s v="190005720"/>
    <s v="A Green Park Service Station"/>
    <x v="4"/>
    <x v="4"/>
    <s v="NP/049212"/>
    <d v="2021-10-30T00:00:00"/>
    <n v="10"/>
    <x v="4"/>
    <n v="-8168.5"/>
    <n v="-8168.5"/>
    <n v="1116"/>
    <x v="1258"/>
    <s v="0777 777746"/>
  </r>
  <r>
    <s v="190005720"/>
    <s v="A Green Park Service Station"/>
    <x v="4"/>
    <x v="4"/>
    <s v="4227158814"/>
    <d v="2020-12-05T00:00:00"/>
    <n v="12"/>
    <x v="3"/>
    <n v="4298"/>
    <n v="4298"/>
    <n v="1445"/>
    <x v="1259"/>
    <s v="0777 777746"/>
  </r>
  <r>
    <s v="190005720"/>
    <s v="A Green Park Service Station"/>
    <x v="4"/>
    <x v="4"/>
    <s v="4227164098"/>
    <d v="2021-01-29T00:00:00"/>
    <n v="1"/>
    <x v="4"/>
    <n v="31320"/>
    <n v="5724"/>
    <n v="1390"/>
    <x v="1260"/>
    <s v="0777 777746"/>
  </r>
  <r>
    <s v="190005720"/>
    <s v="A Green Park Service Station"/>
    <x v="4"/>
    <x v="4"/>
    <s v="4227168108"/>
    <d v="2021-02-27T00:00:00"/>
    <n v="2"/>
    <x v="4"/>
    <n v="60606"/>
    <n v="8261"/>
    <n v="1361"/>
    <x v="1261"/>
    <s v="0777 777746"/>
  </r>
  <r>
    <s v="190005720"/>
    <s v="A Green Park Service Station"/>
    <x v="4"/>
    <x v="4"/>
    <s v="4227179661"/>
    <d v="2021-07-02T00:00:00"/>
    <n v="7"/>
    <x v="4"/>
    <n v="91419"/>
    <n v="4578"/>
    <n v="1236"/>
    <x v="1262"/>
    <s v="0777 777746"/>
  </r>
  <r>
    <s v="190005720"/>
    <s v="A Green Park Service Station"/>
    <x v="4"/>
    <x v="4"/>
    <s v="4227186898"/>
    <d v="2021-09-28T00:00:00"/>
    <n v="9"/>
    <x v="4"/>
    <n v="11405"/>
    <n v="11405"/>
    <n v="1148"/>
    <x v="1263"/>
    <s v="0777 777746"/>
  </r>
  <r>
    <s v="190005720"/>
    <s v="A Green Park Service Station"/>
    <x v="4"/>
    <x v="4"/>
    <s v="4227190124"/>
    <d v="2021-10-27T00:00:00"/>
    <n v="10"/>
    <x v="4"/>
    <n v="11664"/>
    <n v="3896.45"/>
    <n v="1119"/>
    <x v="1264"/>
    <s v="0777 777746"/>
  </r>
  <r>
    <s v="190005720"/>
    <s v="A Green Park Service Station"/>
    <x v="4"/>
    <x v="4"/>
    <s v="4227194340"/>
    <d v="2021-11-30T00:00:00"/>
    <n v="11"/>
    <x v="4"/>
    <n v="8102"/>
    <n v="8102"/>
    <n v="1085"/>
    <x v="1265"/>
    <s v="0777 777746"/>
  </r>
  <r>
    <s v="190005720"/>
    <s v="A Green Park Service Station"/>
    <x v="4"/>
    <x v="4"/>
    <s v="4227197575"/>
    <d v="2021-12-30T00:00:00"/>
    <n v="12"/>
    <x v="4"/>
    <n v="8566"/>
    <n v="6100"/>
    <n v="1055"/>
    <x v="1266"/>
    <s v="0777 777746"/>
  </r>
  <r>
    <s v="190005720"/>
    <s v="A Green Park Service Station"/>
    <x v="4"/>
    <x v="4"/>
    <s v="4227200351"/>
    <d v="2022-01-22T00:00:00"/>
    <n v="1"/>
    <x v="6"/>
    <n v="21203"/>
    <n v="21203"/>
    <n v="1032"/>
    <x v="1267"/>
    <s v="0777 777746"/>
  </r>
  <r>
    <s v="190005720"/>
    <s v="A Green Park Service Station"/>
    <x v="4"/>
    <x v="4"/>
    <s v="4227201511"/>
    <d v="2022-01-31T00:00:00"/>
    <n v="1"/>
    <x v="6"/>
    <n v="28447"/>
    <n v="8147"/>
    <n v="1023"/>
    <x v="1268"/>
    <s v="0777 777746"/>
  </r>
  <r>
    <s v="190005720"/>
    <s v="A Green Park Service Station"/>
    <x v="4"/>
    <x v="4"/>
    <s v="4227210655"/>
    <d v="2022-04-29T00:00:00"/>
    <n v="4"/>
    <x v="6"/>
    <n v="17685"/>
    <n v="17685"/>
    <n v="935"/>
    <x v="1269"/>
    <s v="0777 777746"/>
  </r>
  <r>
    <s v="190005720"/>
    <s v="A Green Park Service Station"/>
    <x v="4"/>
    <x v="4"/>
    <s v="4227213613"/>
    <d v="2022-06-13T00:00:00"/>
    <n v="6"/>
    <x v="6"/>
    <n v="36960"/>
    <n v="2979.25"/>
    <n v="890"/>
    <x v="1270"/>
    <s v="0777 777746"/>
  </r>
  <r>
    <s v="190005720"/>
    <s v="A Green Park Service Station"/>
    <x v="4"/>
    <x v="4"/>
    <s v="4227214818"/>
    <d v="2022-06-30T00:00:00"/>
    <n v="6"/>
    <x v="6"/>
    <n v="36708"/>
    <n v="5762.7"/>
    <n v="873"/>
    <x v="1271"/>
    <s v="0777 777746"/>
  </r>
  <r>
    <s v="190005720"/>
    <s v="A Green Park Service Station"/>
    <x v="4"/>
    <x v="4"/>
    <s v="4227215284"/>
    <d v="2022-07-08T00:00:00"/>
    <n v="7"/>
    <x v="6"/>
    <n v="9912"/>
    <n v="495.6"/>
    <n v="865"/>
    <x v="1272"/>
    <s v="0777 777746"/>
  </r>
  <r>
    <s v="190005720"/>
    <s v="A Green Park Service Station"/>
    <x v="4"/>
    <x v="4"/>
    <s v="4227218708"/>
    <d v="2022-08-30T00:00:00"/>
    <n v="8"/>
    <x v="6"/>
    <n v="18704"/>
    <n v="11536.8"/>
    <n v="812"/>
    <x v="1273"/>
    <s v="0777 777746"/>
  </r>
  <r>
    <s v="190005720"/>
    <s v="A Green Park Service Station"/>
    <x v="4"/>
    <x v="4"/>
    <s v="4227221930"/>
    <d v="2022-09-30T00:00:00"/>
    <n v="9"/>
    <x v="6"/>
    <n v="75038"/>
    <n v="10161"/>
    <n v="781"/>
    <x v="1274"/>
    <s v="0777 777746"/>
  </r>
  <r>
    <s v="190005720"/>
    <s v="A Green Park Service Station"/>
    <x v="4"/>
    <x v="4"/>
    <s v="4227224410"/>
    <d v="2022-10-31T00:00:00"/>
    <n v="10"/>
    <x v="6"/>
    <n v="103500"/>
    <n v="12320"/>
    <n v="750"/>
    <x v="1275"/>
    <s v="0777 777746"/>
  </r>
  <r>
    <s v="190005720"/>
    <s v="A Green Park Service Station"/>
    <x v="4"/>
    <x v="4"/>
    <s v="4227234983"/>
    <d v="2023-02-28T00:00:00"/>
    <n v="2"/>
    <x v="0"/>
    <n v="157182"/>
    <n v="22000"/>
    <n v="630"/>
    <x v="1276"/>
    <s v="0777 777746"/>
  </r>
  <r>
    <s v="190005720"/>
    <s v="A Green Park Service Station"/>
    <x v="4"/>
    <x v="4"/>
    <s v="4227242479"/>
    <d v="2023-05-25T00:00:00"/>
    <n v="5"/>
    <x v="0"/>
    <n v="11385"/>
    <n v="11385"/>
    <n v="544"/>
    <x v="1277"/>
    <s v="0777 777746"/>
  </r>
  <r>
    <s v="190005720"/>
    <s v="A Green Park Service Station"/>
    <x v="4"/>
    <x v="4"/>
    <s v="4227246355"/>
    <d v="2023-07-04T00:00:00"/>
    <n v="7"/>
    <x v="0"/>
    <n v="4658"/>
    <n v="709.3"/>
    <n v="504"/>
    <x v="1278"/>
    <s v="0777 777746"/>
  </r>
  <r>
    <s v="190005720"/>
    <s v="A Green Park Service Station"/>
    <x v="4"/>
    <x v="4"/>
    <s v="4227247571"/>
    <d v="2023-07-14T00:00:00"/>
    <n v="7"/>
    <x v="0"/>
    <n v="3648"/>
    <n v="3648"/>
    <n v="494"/>
    <x v="1279"/>
    <s v="0777 777746"/>
  </r>
  <r>
    <s v="190005720"/>
    <s v="A Green Park Service Station"/>
    <x v="4"/>
    <x v="4"/>
    <s v="4227247702"/>
    <d v="2023-07-17T00:00:00"/>
    <n v="7"/>
    <x v="0"/>
    <n v="6210"/>
    <n v="6210"/>
    <n v="491"/>
    <x v="1280"/>
    <s v="0777 777746"/>
  </r>
  <r>
    <s v="190005720"/>
    <s v="A Green Park Service Station"/>
    <x v="4"/>
    <x v="4"/>
    <s v="4227259996"/>
    <d v="2023-10-31T00:00:00"/>
    <n v="10"/>
    <x v="0"/>
    <n v="70392"/>
    <n v="4826"/>
    <n v="385"/>
    <x v="1281"/>
    <s v="0777 777746"/>
  </r>
  <r>
    <s v="190005720"/>
    <s v="A Green Park Service Station"/>
    <x v="4"/>
    <x v="4"/>
    <s v="4227263302"/>
    <d v="2023-11-30T00:00:00"/>
    <n v="11"/>
    <x v="0"/>
    <n v="111780"/>
    <n v="34534"/>
    <n v="355"/>
    <x v="1282"/>
    <s v="0777 777746"/>
  </r>
  <r>
    <s v="190005720"/>
    <s v="A Green Park Service Station"/>
    <x v="4"/>
    <x v="4"/>
    <s v="4227264058"/>
    <d v="2023-12-08T00:00:00"/>
    <n v="12"/>
    <x v="0"/>
    <n v="3824"/>
    <n v="3824"/>
    <n v="347"/>
    <x v="1283"/>
    <s v="0777 777746"/>
  </r>
  <r>
    <s v="190005720"/>
    <s v="A Green Park Service Station"/>
    <x v="4"/>
    <x v="4"/>
    <s v="4227272974"/>
    <d v="2024-02-29T00:00:00"/>
    <n v="2"/>
    <x v="1"/>
    <n v="46707"/>
    <n v="17705"/>
    <n v="264"/>
    <x v="1284"/>
    <s v="0777 777746"/>
  </r>
  <r>
    <s v="190005720"/>
    <s v="A Green Park Service Station"/>
    <x v="4"/>
    <x v="4"/>
    <s v="4227276665"/>
    <d v="2024-03-28T00:00:00"/>
    <n v="3"/>
    <x v="1"/>
    <n v="39825"/>
    <n v="4973"/>
    <n v="236"/>
    <x v="1285"/>
    <s v="0777 777746"/>
  </r>
  <r>
    <s v="190005720"/>
    <s v="A Green Park Service Station"/>
    <x v="4"/>
    <x v="4"/>
    <s v="4227278831"/>
    <d v="2024-04-30T00:00:00"/>
    <n v="4"/>
    <x v="1"/>
    <n v="75668"/>
    <n v="10793"/>
    <n v="203"/>
    <x v="1286"/>
    <s v="0777 777746"/>
  </r>
  <r>
    <s v="190005720"/>
    <s v="A Green Park Service Station"/>
    <x v="4"/>
    <x v="4"/>
    <s v="4227298045"/>
    <d v="2024-09-27T00:00:00"/>
    <n v="9"/>
    <x v="1"/>
    <n v="26432"/>
    <n v="26432"/>
    <n v="53"/>
    <x v="3"/>
    <s v="0777 777746"/>
  </r>
  <r>
    <s v="190005720"/>
    <s v="A Green Park Service Station"/>
    <x v="4"/>
    <x v="4"/>
    <s v="4227298046"/>
    <d v="2024-09-27T00:00:00"/>
    <n v="9"/>
    <x v="1"/>
    <n v="49772"/>
    <n v="49772"/>
    <n v="53"/>
    <x v="3"/>
    <s v="0777 777746"/>
  </r>
  <r>
    <s v="190005720"/>
    <s v="A Green Park Service Station"/>
    <x v="4"/>
    <x v="4"/>
    <s v="4227298047"/>
    <d v="2024-09-27T00:00:00"/>
    <n v="9"/>
    <x v="1"/>
    <n v="104784"/>
    <n v="104784"/>
    <n v="53"/>
    <x v="3"/>
    <s v="0777 777746"/>
  </r>
  <r>
    <s v="190005720"/>
    <s v="A Green Park Service Station"/>
    <x v="4"/>
    <x v="4"/>
    <s v="4227298048"/>
    <d v="2024-09-27T00:00:00"/>
    <n v="9"/>
    <x v="1"/>
    <n v="32285"/>
    <n v="32285"/>
    <n v="53"/>
    <x v="3"/>
    <s v="0777 777746"/>
  </r>
  <r>
    <s v="190005720"/>
    <s v="A Green Park Service Station"/>
    <x v="4"/>
    <x v="4"/>
    <s v="4227298049"/>
    <d v="2024-09-27T00:00:00"/>
    <n v="9"/>
    <x v="1"/>
    <n v="28320"/>
    <n v="28320"/>
    <n v="53"/>
    <x v="3"/>
    <s v="0777 777746"/>
  </r>
  <r>
    <s v="190005720"/>
    <s v="A Green Park Service Station"/>
    <x v="4"/>
    <x v="4"/>
    <s v="4227298603"/>
    <d v="2024-09-30T00:00:00"/>
    <n v="9"/>
    <x v="1"/>
    <n v="31152"/>
    <n v="31152"/>
    <n v="50"/>
    <x v="3"/>
    <s v="0777 777746"/>
  </r>
  <r>
    <s v="190005720"/>
    <s v="A Green Park Service Station"/>
    <x v="4"/>
    <x v="4"/>
    <s v="4227298604"/>
    <d v="2024-09-30T00:00:00"/>
    <n v="9"/>
    <x v="1"/>
    <n v="17464"/>
    <n v="17464"/>
    <n v="50"/>
    <x v="3"/>
    <s v="0777 777746"/>
  </r>
  <r>
    <s v="190005720"/>
    <s v="A Green Park Service Station"/>
    <x v="4"/>
    <x v="4"/>
    <s v="4227298605"/>
    <d v="2024-09-30T00:00:00"/>
    <n v="9"/>
    <x v="1"/>
    <n v="17464"/>
    <n v="17464"/>
    <n v="50"/>
    <x v="3"/>
    <s v="0777 777746"/>
  </r>
  <r>
    <s v="190005720"/>
    <s v="A Green Park Service Station"/>
    <x v="4"/>
    <x v="4"/>
    <s v="4227298606"/>
    <d v="2024-09-30T00:00:00"/>
    <n v="9"/>
    <x v="1"/>
    <n v="45123"/>
    <n v="45123"/>
    <n v="50"/>
    <x v="3"/>
    <s v="0777 777746"/>
  </r>
  <r>
    <s v="190005720"/>
    <s v="A Green Park Service Station"/>
    <x v="4"/>
    <x v="4"/>
    <s v="4227301095"/>
    <d v="2024-10-18T00:00:00"/>
    <n v="10"/>
    <x v="1"/>
    <n v="35400"/>
    <n v="35400"/>
    <n v="32"/>
    <x v="3"/>
    <s v="0777 777746"/>
  </r>
  <r>
    <s v="190005720"/>
    <s v="A Green Park Service Station"/>
    <x v="4"/>
    <x v="4"/>
    <s v="4227301096"/>
    <d v="2024-10-18T00:00:00"/>
    <n v="10"/>
    <x v="1"/>
    <n v="55224"/>
    <n v="55224"/>
    <n v="32"/>
    <x v="3"/>
    <s v="0777 777746"/>
  </r>
  <r>
    <s v="190005720"/>
    <s v="A Green Park Service Station"/>
    <x v="4"/>
    <x v="4"/>
    <s v="4227301097"/>
    <d v="2024-10-18T00:00:00"/>
    <n v="10"/>
    <x v="1"/>
    <n v="47082"/>
    <n v="47082"/>
    <n v="32"/>
    <x v="3"/>
    <s v="0777 777746"/>
  </r>
  <r>
    <s v="190005720"/>
    <s v="A Green Park Service Station"/>
    <x v="4"/>
    <x v="4"/>
    <s v="4227301098"/>
    <d v="2024-10-18T00:00:00"/>
    <n v="10"/>
    <x v="1"/>
    <n v="35400"/>
    <n v="35400"/>
    <n v="32"/>
    <x v="3"/>
    <s v="0777 777746"/>
  </r>
  <r>
    <s v="190005720"/>
    <s v="A Green Park Service Station"/>
    <x v="4"/>
    <x v="4"/>
    <s v="4227301099"/>
    <d v="2024-10-18T00:00:00"/>
    <n v="10"/>
    <x v="1"/>
    <n v="17997"/>
    <n v="17997"/>
    <n v="32"/>
    <x v="3"/>
    <s v="0777 777746"/>
  </r>
  <r>
    <s v="190005720"/>
    <s v="A Green Park Service Station"/>
    <x v="4"/>
    <x v="4"/>
    <s v="4227301603"/>
    <d v="2024-10-21T00:00:00"/>
    <n v="10"/>
    <x v="1"/>
    <n v="56758"/>
    <n v="56758"/>
    <n v="29"/>
    <x v="3"/>
    <s v="0777 777746"/>
  </r>
  <r>
    <s v="190005720"/>
    <s v="A Green Park Service Station"/>
    <x v="4"/>
    <x v="4"/>
    <s v="4227301797"/>
    <d v="2024-10-22T00:00:00"/>
    <n v="10"/>
    <x v="1"/>
    <n v="26196"/>
    <n v="26196"/>
    <n v="28"/>
    <x v="3"/>
    <s v="0777 777746"/>
  </r>
  <r>
    <s v="190005720"/>
    <s v="A Green Park Service Station"/>
    <x v="4"/>
    <x v="4"/>
    <s v="4227301798"/>
    <d v="2024-10-22T00:00:00"/>
    <n v="10"/>
    <x v="1"/>
    <n v="16107"/>
    <n v="16107"/>
    <n v="28"/>
    <x v="3"/>
    <s v="0777 777746"/>
  </r>
  <r>
    <s v="190005720"/>
    <s v="A Green Park Service Station"/>
    <x v="4"/>
    <x v="4"/>
    <s v="4227303919"/>
    <d v="2024-10-31T00:00:00"/>
    <n v="10"/>
    <x v="1"/>
    <n v="31742"/>
    <n v="31742"/>
    <n v="19"/>
    <x v="3"/>
    <s v="0777 777746"/>
  </r>
  <r>
    <s v="190005828"/>
    <s v="Wijayakith Auto Engineering"/>
    <x v="4"/>
    <x v="4"/>
    <s v="4227304472"/>
    <d v="2024-10-31T00:00:00"/>
    <n v="10"/>
    <x v="1"/>
    <n v="44303"/>
    <n v="44303"/>
    <n v="19"/>
    <x v="3"/>
    <s v="0777 172828"/>
  </r>
  <r>
    <s v="190006196"/>
    <s v="M.G.Medicals (Pvt)Ltd"/>
    <x v="4"/>
    <x v="4"/>
    <s v="4227012336"/>
    <d v="2016-09-29T00:00:00"/>
    <n v="9"/>
    <x v="2"/>
    <n v="34800"/>
    <n v="8400"/>
    <n v="2973"/>
    <x v="1287"/>
    <s v=""/>
  </r>
  <r>
    <s v="190006362"/>
    <s v="G. M. Motors"/>
    <x v="4"/>
    <x v="4"/>
    <s v="4227183970"/>
    <d v="2021-08-13T00:00:00"/>
    <n v="8"/>
    <x v="4"/>
    <n v="30240"/>
    <n v="5000"/>
    <n v="1194"/>
    <x v="493"/>
    <s v="0778396256"/>
  </r>
  <r>
    <s v="190006415"/>
    <s v="Premasinghe Motors -Paint"/>
    <x v="4"/>
    <x v="4"/>
    <s v="4227276404"/>
    <d v="2024-03-28T00:00:00"/>
    <n v="3"/>
    <x v="1"/>
    <n v="12390"/>
    <n v="12390"/>
    <n v="236"/>
    <x v="912"/>
    <s v="0776059394"/>
  </r>
  <r>
    <s v="190006446"/>
    <s v="Wijewardana (Pvt) Ltd"/>
    <x v="4"/>
    <x v="4"/>
    <s v="4227029677"/>
    <d v="2017-05-06T00:00:00"/>
    <n v="5"/>
    <x v="2"/>
    <n v="12161"/>
    <n v="12161"/>
    <n v="2754"/>
    <x v="1288"/>
    <s v="033 3330287"/>
  </r>
  <r>
    <s v="190006446"/>
    <s v="Wijewardana (Pvt) Ltd"/>
    <x v="4"/>
    <x v="4"/>
    <s v="4227031472"/>
    <d v="2017-05-29T00:00:00"/>
    <n v="5"/>
    <x v="2"/>
    <n v="11396"/>
    <n v="11396"/>
    <n v="2731"/>
    <x v="1289"/>
    <s v="033 3330287"/>
  </r>
  <r>
    <s v="190006461"/>
    <s v="Sirimanna Garage"/>
    <x v="4"/>
    <x v="4"/>
    <s v="4227020761"/>
    <d v="2017-01-18T00:00:00"/>
    <n v="1"/>
    <x v="2"/>
    <n v="725"/>
    <n v="725"/>
    <n v="2862"/>
    <x v="1290"/>
    <s v=""/>
  </r>
  <r>
    <s v="190006472"/>
    <s v="Z.A.Motor House"/>
    <x v="4"/>
    <x v="4"/>
    <s v="189119/658604"/>
    <d v="2022-10-27T00:00:00"/>
    <n v="10"/>
    <x v="6"/>
    <n v="-7811"/>
    <n v="-7811"/>
    <n v="754"/>
    <x v="1291"/>
    <s v="0332298040"/>
  </r>
  <r>
    <s v="190006477"/>
    <s v="Dias Garage"/>
    <x v="4"/>
    <x v="4"/>
    <s v="4227290754"/>
    <d v="2024-07-31T00:00:00"/>
    <n v="7"/>
    <x v="1"/>
    <n v="33984"/>
    <n v="23984"/>
    <n v="111"/>
    <x v="1292"/>
    <s v="0773690888"/>
  </r>
  <r>
    <s v="190006564"/>
    <s v="Auto C.S.Car Care Center"/>
    <x v="4"/>
    <x v="4"/>
    <s v="4227221773"/>
    <d v="2022-09-30T00:00:00"/>
    <n v="9"/>
    <x v="6"/>
    <n v="62531"/>
    <n v="62531"/>
    <n v="781"/>
    <x v="1293"/>
    <s v=""/>
  </r>
  <r>
    <s v="190006620"/>
    <s v="Liyanage Auto Service"/>
    <x v="4"/>
    <x v="4"/>
    <s v="4227303676"/>
    <d v="2024-10-31T00:00:00"/>
    <n v="10"/>
    <x v="1"/>
    <n v="99545"/>
    <n v="99545"/>
    <n v="19"/>
    <x v="3"/>
    <s v="077 3994952"/>
  </r>
  <r>
    <s v="190006662"/>
    <s v="Boby Lanka Motors"/>
    <x v="4"/>
    <x v="4"/>
    <s v="228397 / 803638"/>
    <d v="2024-09-30T00:00:00"/>
    <n v="9"/>
    <x v="1"/>
    <n v="-40948"/>
    <n v="-40948"/>
    <n v="50"/>
    <x v="3"/>
    <s v="0768267531"/>
  </r>
  <r>
    <s v="190006662"/>
    <s v="Boby Lanka Motors"/>
    <x v="4"/>
    <x v="4"/>
    <s v="4227252169"/>
    <d v="2023-08-29T00:00:00"/>
    <n v="8"/>
    <x v="0"/>
    <n v="15568"/>
    <n v="300"/>
    <n v="448"/>
    <x v="1294"/>
    <s v="0768267531"/>
  </r>
  <r>
    <s v="190006662"/>
    <s v="Boby Lanka Motors"/>
    <x v="4"/>
    <x v="4"/>
    <s v="4227271708"/>
    <d v="2024-02-20T00:00:00"/>
    <n v="2"/>
    <x v="1"/>
    <n v="254763"/>
    <n v="156912"/>
    <n v="273"/>
    <x v="1295"/>
    <s v="0768267531"/>
  </r>
  <r>
    <s v="190006662"/>
    <s v="Boby Lanka Motors"/>
    <x v="4"/>
    <x v="4"/>
    <s v="4227298607"/>
    <d v="2024-09-30T00:00:00"/>
    <n v="9"/>
    <x v="1"/>
    <n v="11045"/>
    <n v="11045"/>
    <n v="50"/>
    <x v="3"/>
    <s v="0768267531"/>
  </r>
  <r>
    <s v="190006662"/>
    <s v="Boby Lanka Motors"/>
    <x v="4"/>
    <x v="4"/>
    <s v="4227298608"/>
    <d v="2024-09-30T00:00:00"/>
    <n v="9"/>
    <x v="1"/>
    <n v="16591"/>
    <n v="16591"/>
    <n v="50"/>
    <x v="3"/>
    <s v="0768267531"/>
  </r>
  <r>
    <s v="190006662"/>
    <s v="Boby Lanka Motors"/>
    <x v="4"/>
    <x v="4"/>
    <s v="4227298609"/>
    <d v="2024-09-30T00:00:00"/>
    <n v="9"/>
    <x v="1"/>
    <n v="6203"/>
    <n v="6203"/>
    <n v="50"/>
    <x v="3"/>
    <s v="0768267531"/>
  </r>
  <r>
    <s v="190006662"/>
    <s v="Boby Lanka Motors"/>
    <x v="4"/>
    <x v="4"/>
    <s v="4227304483"/>
    <d v="2024-10-31T00:00:00"/>
    <n v="10"/>
    <x v="1"/>
    <n v="50466"/>
    <n v="50466"/>
    <n v="19"/>
    <x v="3"/>
    <s v="0768267531"/>
  </r>
  <r>
    <s v="190006662"/>
    <s v="Boby Lanka Motors"/>
    <x v="4"/>
    <x v="4"/>
    <s v="5227015964"/>
    <d v="2024-11-18T00:00:00"/>
    <n v="11"/>
    <x v="1"/>
    <n v="-194123"/>
    <n v="-194123"/>
    <n v="1"/>
    <x v="3"/>
    <s v="0768267531"/>
  </r>
  <r>
    <s v="190006669"/>
    <s v="Unity Car Service Centre"/>
    <x v="4"/>
    <x v="4"/>
    <s v="4227296063"/>
    <d v="2024-09-11T00:00:00"/>
    <n v="9"/>
    <x v="1"/>
    <n v="10573"/>
    <n v="10573"/>
    <n v="69"/>
    <x v="3"/>
    <s v="077 4040932"/>
  </r>
  <r>
    <s v="190006733"/>
    <s v="Laugfs Car Care"/>
    <x v="4"/>
    <x v="4"/>
    <s v="4227069385"/>
    <d v="2018-06-28T00:00:00"/>
    <n v="6"/>
    <x v="2"/>
    <n v="2507"/>
    <n v="2507"/>
    <n v="2336"/>
    <x v="1296"/>
    <s v="0115972790"/>
  </r>
  <r>
    <s v="190006733"/>
    <s v="Laugfs Car Care"/>
    <x v="4"/>
    <x v="4"/>
    <s v="4227149344"/>
    <d v="2020-09-07T00:00:00"/>
    <n v="9"/>
    <x v="3"/>
    <n v="22369"/>
    <n v="18570"/>
    <n v="1534"/>
    <x v="1297"/>
    <s v="0115972790"/>
  </r>
  <r>
    <s v="190006733"/>
    <s v="Laugfs Car Care"/>
    <x v="4"/>
    <x v="4"/>
    <s v="4227163671"/>
    <d v="2021-01-25T00:00:00"/>
    <n v="1"/>
    <x v="4"/>
    <n v="129470"/>
    <n v="3110"/>
    <n v="1394"/>
    <x v="1298"/>
    <s v="0115972790"/>
  </r>
  <r>
    <s v="190006733"/>
    <s v="Laugfs Car Care"/>
    <x v="4"/>
    <x v="4"/>
    <s v="4227164933"/>
    <d v="2021-02-03T00:00:00"/>
    <n v="2"/>
    <x v="4"/>
    <n v="48138"/>
    <n v="12952"/>
    <n v="1385"/>
    <x v="1299"/>
    <s v="0115972790"/>
  </r>
  <r>
    <s v="190006733"/>
    <s v="Laugfs Car Care"/>
    <x v="4"/>
    <x v="4"/>
    <s v="4227245198"/>
    <d v="2023-06-23T00:00:00"/>
    <n v="6"/>
    <x v="0"/>
    <n v="1863"/>
    <n v="1863"/>
    <n v="515"/>
    <x v="1300"/>
    <s v="0115972790"/>
  </r>
  <r>
    <s v="190006733"/>
    <s v="Laugfs Car Care"/>
    <x v="4"/>
    <x v="4"/>
    <s v="4227298610"/>
    <d v="2024-09-30T00:00:00"/>
    <n v="9"/>
    <x v="1"/>
    <n v="148603"/>
    <n v="107126"/>
    <n v="50"/>
    <x v="3"/>
    <s v="0115972790"/>
  </r>
  <r>
    <s v="190006733"/>
    <s v="Laugfs Car Care"/>
    <x v="4"/>
    <x v="4"/>
    <s v="4227298611"/>
    <d v="2024-09-30T00:00:00"/>
    <n v="9"/>
    <x v="1"/>
    <n v="82619"/>
    <n v="82619"/>
    <n v="50"/>
    <x v="3"/>
    <s v="0115972790"/>
  </r>
  <r>
    <s v="190006733"/>
    <s v="Laugfs Car Care"/>
    <x v="4"/>
    <x v="4"/>
    <s v="4227299231"/>
    <d v="2024-10-03T00:00:00"/>
    <n v="10"/>
    <x v="1"/>
    <n v="8850"/>
    <n v="8850"/>
    <n v="47"/>
    <x v="3"/>
    <s v="0115972790"/>
  </r>
  <r>
    <s v="190006733"/>
    <s v="Laugfs Car Care"/>
    <x v="4"/>
    <x v="4"/>
    <s v="4227299406"/>
    <d v="2024-10-04T00:00:00"/>
    <n v="10"/>
    <x v="1"/>
    <n v="16520"/>
    <n v="16520"/>
    <n v="46"/>
    <x v="3"/>
    <s v="0115972790"/>
  </r>
  <r>
    <s v="190006778"/>
    <s v="Dekatana Hoist Service"/>
    <x v="4"/>
    <x v="4"/>
    <s v="222645 / 707178"/>
    <d v="2024-05-31T00:00:00"/>
    <n v="5"/>
    <x v="1"/>
    <n v="-400"/>
    <n v="-400"/>
    <n v="172"/>
    <x v="1301"/>
    <s v="071 1741516"/>
  </r>
  <r>
    <s v="190006778"/>
    <s v="Dekatana Hoist Service"/>
    <x v="4"/>
    <x v="4"/>
    <s v="4227296393"/>
    <d v="2024-09-13T00:00:00"/>
    <n v="9"/>
    <x v="1"/>
    <n v="9051"/>
    <n v="9051"/>
    <n v="67"/>
    <x v="3"/>
    <s v="071 1741516"/>
  </r>
  <r>
    <s v="190006778"/>
    <s v="Dekatana Hoist Service"/>
    <x v="4"/>
    <x v="4"/>
    <s v="4227300932"/>
    <d v="2024-10-16T00:00:00"/>
    <n v="10"/>
    <x v="1"/>
    <n v="27527"/>
    <n v="27527"/>
    <n v="34"/>
    <x v="3"/>
    <s v="071 1741516"/>
  </r>
  <r>
    <s v="190006778"/>
    <s v="Dekatana Hoist Service"/>
    <x v="4"/>
    <x v="4"/>
    <s v="4227300993"/>
    <d v="2024-10-16T00:00:00"/>
    <n v="10"/>
    <x v="1"/>
    <n v="13735"/>
    <n v="13735"/>
    <n v="34"/>
    <x v="3"/>
    <s v="071 1741516"/>
  </r>
  <r>
    <s v="190006778"/>
    <s v="Dekatana Hoist Service"/>
    <x v="4"/>
    <x v="4"/>
    <s v="4227301425"/>
    <d v="2024-10-21T00:00:00"/>
    <n v="10"/>
    <x v="1"/>
    <n v="9251"/>
    <n v="9251"/>
    <n v="29"/>
    <x v="3"/>
    <s v="071 1741516"/>
  </r>
  <r>
    <s v="190006778"/>
    <s v="Dekatana Hoist Service"/>
    <x v="4"/>
    <x v="4"/>
    <s v="4227302864"/>
    <d v="2024-10-29T00:00:00"/>
    <n v="10"/>
    <x v="1"/>
    <n v="18054"/>
    <n v="18054"/>
    <n v="21"/>
    <x v="3"/>
    <s v="071 1741516"/>
  </r>
  <r>
    <s v="190006783"/>
    <s v="Ruwan Windscreen Center"/>
    <x v="4"/>
    <x v="4"/>
    <s v="4227217172"/>
    <d v="2022-08-15T00:00:00"/>
    <n v="8"/>
    <x v="6"/>
    <n v="15344"/>
    <n v="14864"/>
    <n v="827"/>
    <x v="1302"/>
    <s v="0715 746822"/>
  </r>
  <r>
    <s v="190007152"/>
    <s v="Ishanath Auto Electrical &amp; Motors"/>
    <x v="4"/>
    <x v="4"/>
    <s v="4227043569"/>
    <d v="2017-10-19T00:00:00"/>
    <n v="10"/>
    <x v="2"/>
    <n v="6250"/>
    <n v="6250"/>
    <n v="2588"/>
    <x v="1303"/>
    <s v="0711788455"/>
  </r>
  <r>
    <s v="190007330"/>
    <s v="Thilina Motors"/>
    <x v="4"/>
    <x v="4"/>
    <s v="4227293368"/>
    <d v="2024-08-26T00:00:00"/>
    <n v="8"/>
    <x v="1"/>
    <n v="271400"/>
    <n v="184965"/>
    <n v="85"/>
    <x v="3"/>
    <s v="0714769002"/>
  </r>
  <r>
    <s v="190007330"/>
    <s v="Thilina Motors"/>
    <x v="4"/>
    <x v="4"/>
    <s v="4227301831"/>
    <d v="2024-10-23T00:00:00"/>
    <n v="10"/>
    <x v="1"/>
    <n v="1794"/>
    <n v="1794"/>
    <n v="27"/>
    <x v="3"/>
    <s v="0714769002"/>
  </r>
  <r>
    <s v="190007330"/>
    <s v="Thilina Motors"/>
    <x v="4"/>
    <x v="4"/>
    <s v="4227303124"/>
    <d v="2024-10-30T00:00:00"/>
    <n v="10"/>
    <x v="1"/>
    <n v="32568"/>
    <n v="32568"/>
    <n v="20"/>
    <x v="3"/>
    <s v="0714769002"/>
  </r>
  <r>
    <s v="190007424"/>
    <s v="Rathnayake Service Station"/>
    <x v="4"/>
    <x v="4"/>
    <s v="225193 / 231952"/>
    <d v="2024-05-31T00:00:00"/>
    <n v="5"/>
    <x v="1"/>
    <n v="-5268"/>
    <n v="-5268"/>
    <n v="172"/>
    <x v="1304"/>
    <s v="0774425546"/>
  </r>
  <r>
    <s v="190007424"/>
    <s v="Rathnayake Service Station"/>
    <x v="4"/>
    <x v="4"/>
    <s v="4227297226"/>
    <d v="2024-09-20T00:00:00"/>
    <n v="9"/>
    <x v="1"/>
    <n v="18904"/>
    <n v="18904"/>
    <n v="60"/>
    <x v="3"/>
    <s v="0774425546"/>
  </r>
  <r>
    <s v="190007424"/>
    <s v="Rathnayake Service Station"/>
    <x v="4"/>
    <x v="4"/>
    <s v="4227301100"/>
    <d v="2024-10-18T00:00:00"/>
    <n v="10"/>
    <x v="1"/>
    <n v="13098"/>
    <n v="13098"/>
    <n v="32"/>
    <x v="3"/>
    <s v="0774425546"/>
  </r>
  <r>
    <s v="190007424"/>
    <s v="Rathnayake Service Station"/>
    <x v="4"/>
    <x v="4"/>
    <s v="4227304290"/>
    <d v="2024-10-31T00:00:00"/>
    <n v="10"/>
    <x v="1"/>
    <n v="300001"/>
    <n v="300001"/>
    <n v="19"/>
    <x v="3"/>
    <s v="0774425546"/>
  </r>
  <r>
    <s v="190007608"/>
    <s v="Max Well Auto Care"/>
    <x v="4"/>
    <x v="4"/>
    <s v="4227221987"/>
    <d v="2022-09-30T00:00:00"/>
    <n v="9"/>
    <x v="6"/>
    <n v="23184"/>
    <n v="10256"/>
    <n v="781"/>
    <x v="1305"/>
    <s v="0716111375"/>
  </r>
  <r>
    <s v="190007609"/>
    <s v="Everest Service Station"/>
    <x v="4"/>
    <x v="4"/>
    <s v="RTN CHQ - 65"/>
    <d v="2023-12-13T00:00:00"/>
    <n v="12"/>
    <x v="0"/>
    <n v="80000"/>
    <n v="17312"/>
    <n v="342"/>
    <x v="1306"/>
    <s v="0777256059"/>
  </r>
  <r>
    <s v="190007609"/>
    <s v="Everest Service Station"/>
    <x v="4"/>
    <x v="4"/>
    <s v="RTN CHQ - 68"/>
    <d v="2023-12-29T00:00:00"/>
    <n v="12"/>
    <x v="0"/>
    <n v="70000"/>
    <n v="70000"/>
    <n v="326"/>
    <x v="1307"/>
    <s v="0777256059"/>
  </r>
  <r>
    <s v="190007609"/>
    <s v="Everest Service Station"/>
    <x v="4"/>
    <x v="4"/>
    <s v="RTN CHQ - 67"/>
    <d v="2023-12-28T00:00:00"/>
    <n v="12"/>
    <x v="0"/>
    <n v="67782"/>
    <n v="57782"/>
    <n v="327"/>
    <x v="1308"/>
    <s v="0777256059"/>
  </r>
  <r>
    <s v="190007775"/>
    <s v="Kumari Motors"/>
    <x v="4"/>
    <x v="4"/>
    <s v="4227221856"/>
    <d v="2022-09-30T00:00:00"/>
    <n v="9"/>
    <x v="6"/>
    <n v="39802"/>
    <n v="19802"/>
    <n v="781"/>
    <x v="1309"/>
    <s v="0332286220"/>
  </r>
  <r>
    <s v="190007775"/>
    <s v="Kumari Motors"/>
    <x v="4"/>
    <x v="4"/>
    <s v="4227226004"/>
    <d v="2022-11-22T00:00:00"/>
    <n v="11"/>
    <x v="6"/>
    <n v="21735"/>
    <n v="21735"/>
    <n v="728"/>
    <x v="1310"/>
    <s v="0332286220"/>
  </r>
  <r>
    <s v="190007866"/>
    <s v="General Engineering"/>
    <x v="4"/>
    <x v="4"/>
    <s v="4227050800"/>
    <d v="2017-12-27T00:00:00"/>
    <n v="12"/>
    <x v="2"/>
    <n v="40000"/>
    <n v="17000"/>
    <n v="2519"/>
    <x v="1311"/>
    <s v="0332297987"/>
  </r>
  <r>
    <s v="190007884"/>
    <s v="A. G. Motors"/>
    <x v="4"/>
    <x v="4"/>
    <s v="4227275160"/>
    <d v="2024-03-20T00:00:00"/>
    <n v="3"/>
    <x v="1"/>
    <n v="991"/>
    <n v="960"/>
    <n v="244"/>
    <x v="1312"/>
    <s v="0779553829"/>
  </r>
  <r>
    <s v="190007884"/>
    <s v="A. G. Motors"/>
    <x v="4"/>
    <x v="4"/>
    <s v="4227283478"/>
    <d v="2024-06-11T00:00:00"/>
    <n v="6"/>
    <x v="1"/>
    <n v="1075"/>
    <n v="1075"/>
    <n v="161"/>
    <x v="1225"/>
    <s v="0779553829"/>
  </r>
  <r>
    <s v="190008142"/>
    <s v="Senaka Enterprises"/>
    <x v="4"/>
    <x v="4"/>
    <s v="4227303138"/>
    <d v="2024-10-30T00:00:00"/>
    <n v="10"/>
    <x v="1"/>
    <n v="8850"/>
    <n v="8850"/>
    <n v="20"/>
    <x v="3"/>
    <s v="0773735489"/>
  </r>
  <r>
    <s v="190008142"/>
    <s v="Senaka Enterprises"/>
    <x v="4"/>
    <x v="4"/>
    <s v="4227303229"/>
    <d v="2024-10-30T00:00:00"/>
    <n v="10"/>
    <x v="1"/>
    <n v="16461"/>
    <n v="16461"/>
    <n v="20"/>
    <x v="3"/>
    <s v="0773735489"/>
  </r>
  <r>
    <s v="190008369"/>
    <s v="Ideal First Choice (Pvt) Ltd"/>
    <x v="4"/>
    <x v="4"/>
    <s v="144778-001419"/>
    <d v="2021-03-31T00:00:00"/>
    <n v="3"/>
    <x v="4"/>
    <n v="-11069.52"/>
    <n v="-4553.74"/>
    <n v="1329"/>
    <x v="1313"/>
    <s v="0337201237"/>
  </r>
  <r>
    <s v="190008369"/>
    <s v="Ideal First Choice (Pvt) Ltd"/>
    <x v="4"/>
    <x v="4"/>
    <s v="4227136457"/>
    <d v="2020-03-12T00:00:00"/>
    <n v="3"/>
    <x v="3"/>
    <n v="14282"/>
    <n v="14282"/>
    <n v="1713"/>
    <x v="1314"/>
    <s v="0337201237"/>
  </r>
  <r>
    <s v="190008369"/>
    <s v="Ideal First Choice (Pvt) Ltd"/>
    <x v="4"/>
    <x v="4"/>
    <s v="4227136459"/>
    <d v="2020-03-12T00:00:00"/>
    <n v="3"/>
    <x v="3"/>
    <n v="33262"/>
    <n v="33262"/>
    <n v="1713"/>
    <x v="1315"/>
    <s v="0337201237"/>
  </r>
  <r>
    <s v="190008369"/>
    <s v="Ideal First Choice (Pvt) Ltd"/>
    <x v="4"/>
    <x v="4"/>
    <s v="4227136461"/>
    <d v="2020-03-12T00:00:00"/>
    <n v="3"/>
    <x v="3"/>
    <n v="8320"/>
    <n v="8320"/>
    <n v="1713"/>
    <x v="1316"/>
    <s v="0337201237"/>
  </r>
  <r>
    <s v="190008369"/>
    <s v="Ideal First Choice (Pvt) Ltd"/>
    <x v="4"/>
    <x v="4"/>
    <s v="4227136532"/>
    <d v="2020-03-12T00:00:00"/>
    <n v="3"/>
    <x v="3"/>
    <n v="9033"/>
    <n v="9033"/>
    <n v="1713"/>
    <x v="1317"/>
    <s v="0337201237"/>
  </r>
  <r>
    <s v="190008369"/>
    <s v="Ideal First Choice (Pvt) Ltd"/>
    <x v="4"/>
    <x v="4"/>
    <s v="4227136688"/>
    <d v="2020-03-13T00:00:00"/>
    <n v="3"/>
    <x v="3"/>
    <n v="6310"/>
    <n v="6310"/>
    <n v="1712"/>
    <x v="1318"/>
    <s v="0337201237"/>
  </r>
  <r>
    <s v="190008369"/>
    <s v="Ideal First Choice (Pvt) Ltd"/>
    <x v="4"/>
    <x v="4"/>
    <s v="4227136794"/>
    <d v="2020-03-17T00:00:00"/>
    <n v="3"/>
    <x v="3"/>
    <n v="6310"/>
    <n v="6310"/>
    <n v="1708"/>
    <x v="1318"/>
    <s v="0337201237"/>
  </r>
  <r>
    <s v="190008369"/>
    <s v="Ideal First Choice (Pvt) Ltd"/>
    <x v="4"/>
    <x v="4"/>
    <s v="4227136795"/>
    <d v="2020-03-17T00:00:00"/>
    <n v="3"/>
    <x v="3"/>
    <n v="18833"/>
    <n v="18833"/>
    <n v="1708"/>
    <x v="679"/>
    <s v="0337201237"/>
  </r>
  <r>
    <s v="190008369"/>
    <s v="Ideal First Choice (Pvt) Ltd"/>
    <x v="4"/>
    <x v="4"/>
    <s v="4227148733"/>
    <d v="2020-08-31T00:00:00"/>
    <n v="8"/>
    <x v="3"/>
    <n v="69116"/>
    <n v="69116"/>
    <n v="1541"/>
    <x v="1319"/>
    <s v="0337201237"/>
  </r>
  <r>
    <s v="190008369"/>
    <s v="Ideal First Choice (Pvt) Ltd"/>
    <x v="4"/>
    <x v="4"/>
    <s v="4227155919"/>
    <d v="2020-11-06T00:00:00"/>
    <n v="11"/>
    <x v="3"/>
    <n v="42120"/>
    <n v="30780"/>
    <n v="1474"/>
    <x v="1320"/>
    <s v="0337201237"/>
  </r>
  <r>
    <s v="190008369"/>
    <s v="Ideal First Choice (Pvt) Ltd"/>
    <x v="4"/>
    <x v="4"/>
    <s v="4227156716"/>
    <d v="2020-11-16T00:00:00"/>
    <n v="11"/>
    <x v="3"/>
    <n v="42120"/>
    <n v="30780"/>
    <n v="1464"/>
    <x v="1320"/>
    <s v="0337201237"/>
  </r>
  <r>
    <s v="190008369"/>
    <s v="Ideal First Choice (Pvt) Ltd"/>
    <x v="4"/>
    <x v="4"/>
    <s v="4227159203"/>
    <d v="2020-12-09T00:00:00"/>
    <n v="12"/>
    <x v="3"/>
    <n v="4317"/>
    <n v="4317"/>
    <n v="1441"/>
    <x v="1321"/>
    <s v="0337201237"/>
  </r>
  <r>
    <s v="190008369"/>
    <s v="Ideal First Choice (Pvt) Ltd"/>
    <x v="4"/>
    <x v="4"/>
    <s v="4227176111"/>
    <d v="2021-05-03T00:00:00"/>
    <n v="5"/>
    <x v="4"/>
    <n v="18468"/>
    <n v="18468"/>
    <n v="1296"/>
    <x v="1322"/>
    <s v="0337201237"/>
  </r>
  <r>
    <s v="190008369"/>
    <s v="Ideal First Choice (Pvt) Ltd"/>
    <x v="4"/>
    <x v="4"/>
    <s v="4227180677"/>
    <d v="2021-07-13T00:00:00"/>
    <n v="7"/>
    <x v="4"/>
    <n v="9872"/>
    <n v="9872"/>
    <n v="1225"/>
    <x v="1323"/>
    <s v="0337201237"/>
  </r>
  <r>
    <s v="190008369"/>
    <s v="Ideal First Choice (Pvt) Ltd"/>
    <x v="4"/>
    <x v="4"/>
    <s v="4227284209"/>
    <d v="2024-06-18T00:00:00"/>
    <n v="6"/>
    <x v="1"/>
    <n v="22502"/>
    <n v="22502"/>
    <n v="154"/>
    <x v="1324"/>
    <s v="0337201237"/>
  </r>
  <r>
    <s v="190008466"/>
    <s v="Susantha Auto Mobile"/>
    <x v="4"/>
    <x v="4"/>
    <s v="234704 / 087190"/>
    <d v="2024-09-24T00:00:00"/>
    <n v="9"/>
    <x v="1"/>
    <n v="-4503"/>
    <n v="-4503"/>
    <n v="56"/>
    <x v="3"/>
    <s v="0716881480"/>
  </r>
  <r>
    <s v="190008466"/>
    <s v="Susantha Auto Mobile"/>
    <x v="4"/>
    <x v="4"/>
    <s v="4227288574"/>
    <d v="2024-07-23T00:00:00"/>
    <n v="7"/>
    <x v="1"/>
    <n v="28320"/>
    <n v="28320"/>
    <n v="119"/>
    <x v="353"/>
    <s v="0716881480"/>
  </r>
  <r>
    <s v="190008466"/>
    <s v="Susantha Auto Mobile"/>
    <x v="4"/>
    <x v="4"/>
    <s v="4227296015"/>
    <d v="2024-09-11T00:00:00"/>
    <n v="9"/>
    <x v="1"/>
    <n v="11328"/>
    <n v="11328"/>
    <n v="69"/>
    <x v="3"/>
    <s v="0716881480"/>
  </r>
  <r>
    <s v="190008466"/>
    <s v="Susantha Auto Mobile"/>
    <x v="4"/>
    <x v="4"/>
    <s v="4227296017"/>
    <d v="2024-09-11T00:00:00"/>
    <n v="9"/>
    <x v="1"/>
    <n v="24886"/>
    <n v="24886"/>
    <n v="69"/>
    <x v="3"/>
    <s v="0716881480"/>
  </r>
  <r>
    <s v="190008466"/>
    <s v="Susantha Auto Mobile"/>
    <x v="4"/>
    <x v="4"/>
    <s v="4227298050"/>
    <d v="2024-09-27T00:00:00"/>
    <n v="9"/>
    <x v="1"/>
    <n v="94400"/>
    <n v="94400"/>
    <n v="53"/>
    <x v="3"/>
    <s v="0716881480"/>
  </r>
  <r>
    <s v="190008486"/>
    <s v="Sathsara Auto Electrical"/>
    <x v="4"/>
    <x v="4"/>
    <s v="4227292016"/>
    <d v="2024-08-14T00:00:00"/>
    <n v="8"/>
    <x v="1"/>
    <n v="271400"/>
    <n v="271400"/>
    <n v="97"/>
    <x v="1325"/>
    <s v="0774663904"/>
  </r>
  <r>
    <s v="190008495"/>
    <s v="Samantha Motor Traders"/>
    <x v="4"/>
    <x v="4"/>
    <s v="4227113972"/>
    <d v="2019-08-28T00:00:00"/>
    <n v="8"/>
    <x v="5"/>
    <n v="36800"/>
    <n v="900"/>
    <n v="1910"/>
    <x v="1326"/>
    <s v="0777724245"/>
  </r>
  <r>
    <s v="190008495"/>
    <s v="Samantha Motor Traders"/>
    <x v="4"/>
    <x v="4"/>
    <s v="4227114557"/>
    <d v="2019-08-31T00:00:00"/>
    <n v="8"/>
    <x v="5"/>
    <n v="5060"/>
    <n v="5060"/>
    <n v="1907"/>
    <x v="119"/>
    <s v="0777724245"/>
  </r>
  <r>
    <s v="190008495"/>
    <s v="Samantha Motor Traders"/>
    <x v="4"/>
    <x v="4"/>
    <s v="4227115668"/>
    <d v="2019-09-11T00:00:00"/>
    <n v="9"/>
    <x v="5"/>
    <n v="23000"/>
    <n v="23000"/>
    <n v="1896"/>
    <x v="1235"/>
    <s v="0777724245"/>
  </r>
  <r>
    <s v="190008495"/>
    <s v="Samantha Motor Traders"/>
    <x v="4"/>
    <x v="4"/>
    <s v="4227125955"/>
    <d v="2019-12-10T00:00:00"/>
    <n v="12"/>
    <x v="5"/>
    <n v="15552"/>
    <n v="15552"/>
    <n v="1806"/>
    <x v="1327"/>
    <s v="0777724245"/>
  </r>
  <r>
    <s v="190008495"/>
    <s v="Samantha Motor Traders"/>
    <x v="4"/>
    <x v="4"/>
    <s v="4227125956"/>
    <d v="2019-12-10T00:00:00"/>
    <n v="12"/>
    <x v="5"/>
    <n v="34560"/>
    <n v="34560"/>
    <n v="1806"/>
    <x v="1328"/>
    <s v="0777724245"/>
  </r>
  <r>
    <s v="190008495"/>
    <s v="Samantha Motor Traders"/>
    <x v="4"/>
    <x v="4"/>
    <s v="4227132879"/>
    <d v="2020-02-11T00:00:00"/>
    <n v="2"/>
    <x v="3"/>
    <n v="25920"/>
    <n v="25920"/>
    <n v="1743"/>
    <x v="1329"/>
    <s v="0777724245"/>
  </r>
  <r>
    <s v="190008495"/>
    <s v="Samantha Motor Traders"/>
    <x v="4"/>
    <x v="4"/>
    <s v="4227132880"/>
    <d v="2020-02-11T00:00:00"/>
    <n v="2"/>
    <x v="3"/>
    <n v="31104"/>
    <n v="31104"/>
    <n v="1743"/>
    <x v="20"/>
    <s v="0777724245"/>
  </r>
  <r>
    <s v="190008523"/>
    <s v="Withana Motors"/>
    <x v="4"/>
    <x v="4"/>
    <s v="4227086566"/>
    <d v="2018-11-30T00:00:00"/>
    <n v="11"/>
    <x v="2"/>
    <n v="25220"/>
    <n v="15220"/>
    <n v="2181"/>
    <x v="1330"/>
    <s v="0754904918"/>
  </r>
  <r>
    <s v="190008696"/>
    <s v="Patrona Service (pvt) Ltd"/>
    <x v="4"/>
    <x v="4"/>
    <s v="4227163603"/>
    <d v="2021-01-25T00:00:00"/>
    <n v="1"/>
    <x v="4"/>
    <n v="18768"/>
    <n v="1100"/>
    <n v="1394"/>
    <x v="1331"/>
    <s v="0777048390"/>
  </r>
  <r>
    <s v="190008708"/>
    <s v="Sandaruwan Auto Care"/>
    <x v="4"/>
    <x v="4"/>
    <s v="4227291520"/>
    <d v="2024-08-09T00:00:00"/>
    <n v="8"/>
    <x v="1"/>
    <n v="271400"/>
    <n v="121400"/>
    <n v="102"/>
    <x v="1332"/>
    <s v="0333688229"/>
  </r>
  <r>
    <s v="190008708"/>
    <s v="Sandaruwan Auto Care"/>
    <x v="4"/>
    <x v="4"/>
    <s v="4227298536"/>
    <d v="2024-09-30T00:00:00"/>
    <n v="9"/>
    <x v="1"/>
    <n v="31860"/>
    <n v="31860"/>
    <n v="50"/>
    <x v="3"/>
    <s v="0333688229"/>
  </r>
  <r>
    <s v="190008708"/>
    <s v="Sandaruwan Auto Care"/>
    <x v="4"/>
    <x v="4"/>
    <s v="4227298537"/>
    <d v="2024-09-30T00:00:00"/>
    <n v="9"/>
    <x v="1"/>
    <n v="32285"/>
    <n v="32285"/>
    <n v="50"/>
    <x v="3"/>
    <s v="0333688229"/>
  </r>
  <r>
    <s v="190008848"/>
    <s v="Dinesh Motors"/>
    <x v="4"/>
    <x v="4"/>
    <s v="4227085772"/>
    <d v="2018-11-26T00:00:00"/>
    <n v="11"/>
    <x v="2"/>
    <n v="5077"/>
    <n v="5077"/>
    <n v="2185"/>
    <x v="1333"/>
    <s v="0711926417"/>
  </r>
  <r>
    <s v="190008880"/>
    <s v="Waruna Motors"/>
    <x v="4"/>
    <x v="4"/>
    <s v="4227295442"/>
    <d v="2024-09-04T00:00:00"/>
    <n v="9"/>
    <x v="1"/>
    <n v="9748"/>
    <n v="9748"/>
    <n v="76"/>
    <x v="3"/>
    <s v="0334383397"/>
  </r>
  <r>
    <s v="190008880"/>
    <s v="Waruna Motors"/>
    <x v="4"/>
    <x v="4"/>
    <s v="4227295478"/>
    <d v="2024-09-04T00:00:00"/>
    <n v="9"/>
    <x v="1"/>
    <n v="17884"/>
    <n v="17884"/>
    <n v="76"/>
    <x v="3"/>
    <s v="0334383397"/>
  </r>
  <r>
    <s v="190009012"/>
    <s v="Ruwan Auto Electricals"/>
    <x v="4"/>
    <x v="4"/>
    <s v="4227221620"/>
    <d v="2022-09-29T00:00:00"/>
    <n v="9"/>
    <x v="6"/>
    <n v="22476"/>
    <n v="2530"/>
    <n v="782"/>
    <x v="1334"/>
    <s v="0777901591"/>
  </r>
  <r>
    <s v="190009012"/>
    <s v="Ruwan Auto Electricals"/>
    <x v="4"/>
    <x v="4"/>
    <s v="4227290264"/>
    <d v="2024-07-31T00:00:00"/>
    <n v="7"/>
    <x v="1"/>
    <n v="7973"/>
    <n v="7973"/>
    <n v="111"/>
    <x v="833"/>
    <s v="0777901591"/>
  </r>
  <r>
    <s v="190009012"/>
    <s v="Ruwan Auto Electricals"/>
    <x v="4"/>
    <x v="4"/>
    <s v="4227291583"/>
    <d v="2024-08-09T00:00:00"/>
    <n v="8"/>
    <x v="1"/>
    <n v="32037"/>
    <n v="32037"/>
    <n v="102"/>
    <x v="1335"/>
    <s v="0777901591"/>
  </r>
  <r>
    <s v="190009014"/>
    <s v="Sanju Auto Service"/>
    <x v="4"/>
    <x v="4"/>
    <s v="4227124552"/>
    <d v="2019-11-27T00:00:00"/>
    <n v="11"/>
    <x v="5"/>
    <n v="18734"/>
    <n v="18734"/>
    <n v="1819"/>
    <x v="1336"/>
    <s v="0770668129"/>
  </r>
  <r>
    <s v="190009117"/>
    <s v="Sanumi Auto Engineering"/>
    <x v="4"/>
    <x v="4"/>
    <s v="4227282026"/>
    <d v="2024-05-30T00:00:00"/>
    <n v="5"/>
    <x v="1"/>
    <n v="14160"/>
    <n v="1918"/>
    <n v="173"/>
    <x v="1337"/>
    <s v="0773774353"/>
  </r>
  <r>
    <s v="190009117"/>
    <s v="Sanumi Auto Engineering"/>
    <x v="4"/>
    <x v="4"/>
    <s v="4227290152"/>
    <d v="2024-07-31T00:00:00"/>
    <n v="7"/>
    <x v="1"/>
    <n v="14160"/>
    <n v="2124"/>
    <n v="111"/>
    <x v="1338"/>
    <s v="0773774353"/>
  </r>
  <r>
    <s v="190009117"/>
    <s v="Sanumi Auto Engineering"/>
    <x v="4"/>
    <x v="4"/>
    <s v="4227298614"/>
    <d v="2024-09-30T00:00:00"/>
    <n v="9"/>
    <x v="1"/>
    <n v="24886"/>
    <n v="24886"/>
    <n v="50"/>
    <x v="3"/>
    <s v="0773774353"/>
  </r>
  <r>
    <s v="190009117"/>
    <s v="Sanumi Auto Engineering"/>
    <x v="4"/>
    <x v="4"/>
    <s v="4227298615"/>
    <d v="2024-09-30T00:00:00"/>
    <n v="9"/>
    <x v="1"/>
    <n v="24886"/>
    <n v="24886"/>
    <n v="50"/>
    <x v="3"/>
    <s v="0773774353"/>
  </r>
  <r>
    <s v="190009117"/>
    <s v="Sanumi Auto Engineering"/>
    <x v="4"/>
    <x v="4"/>
    <s v="4227301354"/>
    <d v="2024-10-21T00:00:00"/>
    <n v="10"/>
    <x v="1"/>
    <n v="3304"/>
    <n v="3304"/>
    <n v="29"/>
    <x v="3"/>
    <s v="0773774353"/>
  </r>
  <r>
    <s v="190009162"/>
    <s v="Halford Care"/>
    <x v="4"/>
    <x v="4"/>
    <s v="214875"/>
    <d v="2023-12-29T00:00:00"/>
    <n v="12"/>
    <x v="0"/>
    <n v="-22484"/>
    <n v="-22484"/>
    <n v="326"/>
    <x v="1339"/>
    <s v="0777783140"/>
  </r>
  <r>
    <s v="190009162"/>
    <s v="Halford Care"/>
    <x v="4"/>
    <x v="4"/>
    <s v="4227210288"/>
    <d v="2022-04-27T00:00:00"/>
    <n v="4"/>
    <x v="6"/>
    <n v="22239"/>
    <n v="3662.72"/>
    <n v="937"/>
    <x v="1340"/>
    <s v="0777783140"/>
  </r>
  <r>
    <s v="190009162"/>
    <s v="Halford Care"/>
    <x v="4"/>
    <x v="4"/>
    <s v="4227278833"/>
    <d v="2024-04-30T00:00:00"/>
    <n v="4"/>
    <x v="1"/>
    <n v="160480"/>
    <n v="0"/>
    <n v="203"/>
    <x v="345"/>
    <s v="0777783140"/>
  </r>
  <r>
    <s v="190009162"/>
    <s v="Halford Care"/>
    <x v="4"/>
    <x v="4"/>
    <s v="4227296906"/>
    <d v="2024-09-20T00:00:00"/>
    <n v="9"/>
    <x v="1"/>
    <n v="460395"/>
    <n v="460395"/>
    <n v="60"/>
    <x v="3"/>
    <s v="0777783140"/>
  </r>
  <r>
    <s v="190009162"/>
    <s v="Halford Care"/>
    <x v="4"/>
    <x v="4"/>
    <s v="4227304488"/>
    <d v="2024-10-31T00:00:00"/>
    <n v="10"/>
    <x v="1"/>
    <n v="177000"/>
    <n v="177000"/>
    <n v="19"/>
    <x v="3"/>
    <s v="0777783140"/>
  </r>
  <r>
    <s v="190009345"/>
    <s v="Siyane Auto Paint"/>
    <x v="4"/>
    <x v="4"/>
    <s v="4227094878"/>
    <d v="2019-02-23T00:00:00"/>
    <n v="2"/>
    <x v="5"/>
    <n v="9775"/>
    <n v="9775"/>
    <n v="2096"/>
    <x v="53"/>
    <s v="0332235022"/>
  </r>
  <r>
    <s v="190009345"/>
    <s v="Siyane Auto Paint"/>
    <x v="4"/>
    <x v="4"/>
    <s v="4227099950"/>
    <d v="2019-04-09T00:00:00"/>
    <n v="4"/>
    <x v="5"/>
    <n v="2142"/>
    <n v="2142"/>
    <n v="2051"/>
    <x v="1341"/>
    <s v="0332235022"/>
  </r>
  <r>
    <s v="190009345"/>
    <s v="Siyane Auto Paint"/>
    <x v="4"/>
    <x v="4"/>
    <s v="4227101832"/>
    <d v="2019-05-07T00:00:00"/>
    <n v="5"/>
    <x v="5"/>
    <n v="9614"/>
    <n v="9614"/>
    <n v="2023"/>
    <x v="1342"/>
    <s v="0332235022"/>
  </r>
  <r>
    <s v="190009345"/>
    <s v="Siyane Auto Paint"/>
    <x v="4"/>
    <x v="4"/>
    <s v="4227103682"/>
    <d v="2019-05-28T00:00:00"/>
    <n v="5"/>
    <x v="5"/>
    <n v="4025"/>
    <n v="4025"/>
    <n v="2002"/>
    <x v="294"/>
    <s v="0332235022"/>
  </r>
  <r>
    <s v="190009732"/>
    <s v="Protouch Premium"/>
    <x v="4"/>
    <x v="4"/>
    <s v="RTN CHQ - 70"/>
    <d v="2023-06-26T00:00:00"/>
    <n v="6"/>
    <x v="0"/>
    <n v="50000"/>
    <n v="50000"/>
    <n v="512"/>
    <x v="38"/>
    <s v="0716492323"/>
  </r>
  <r>
    <s v="190009885"/>
    <s v="Nida Enterprises (Pvt) Ltd"/>
    <x v="4"/>
    <x v="4"/>
    <s v="4227237621"/>
    <d v="2023-03-29T00:00:00"/>
    <n v="3"/>
    <x v="0"/>
    <n v="68569"/>
    <n v="40785"/>
    <n v="601"/>
    <x v="1343"/>
    <s v="0777303874"/>
  </r>
  <r>
    <s v="190009900"/>
    <s v="Dilantha Colour Mixing Centre"/>
    <x v="4"/>
    <x v="4"/>
    <s v="4227216165"/>
    <d v="2022-07-29T00:00:00"/>
    <n v="7"/>
    <x v="6"/>
    <n v="18480"/>
    <n v="5980"/>
    <n v="844"/>
    <x v="1344"/>
    <s v="0769182773"/>
  </r>
  <r>
    <s v="190009900"/>
    <s v="Dilantha Colour Mixing Centre"/>
    <x v="4"/>
    <x v="4"/>
    <s v="4227219744"/>
    <d v="2022-09-09T00:00:00"/>
    <n v="9"/>
    <x v="6"/>
    <n v="6785"/>
    <n v="3392"/>
    <n v="802"/>
    <x v="1345"/>
    <s v="0769182773"/>
  </r>
  <r>
    <s v="190009901"/>
    <s v="Siyane Auto Service (Pvt) Ltd"/>
    <x v="4"/>
    <x v="4"/>
    <s v="4227176732"/>
    <d v="2021-05-10T00:00:00"/>
    <n v="5"/>
    <x v="4"/>
    <n v="8424"/>
    <n v="8424"/>
    <n v="1289"/>
    <x v="1346"/>
    <s v="0704960740"/>
  </r>
  <r>
    <s v="190009901"/>
    <s v="Siyane Auto Service (Pvt) Ltd"/>
    <x v="4"/>
    <x v="4"/>
    <s v="4227183253"/>
    <d v="2021-08-05T00:00:00"/>
    <n v="8"/>
    <x v="4"/>
    <n v="50544"/>
    <n v="12636"/>
    <n v="1202"/>
    <x v="1347"/>
    <s v="0704960740"/>
  </r>
  <r>
    <s v="190010147"/>
    <s v="Swarnamali Auto Care"/>
    <x v="4"/>
    <x v="4"/>
    <s v="4227230996"/>
    <d v="2023-01-21T00:00:00"/>
    <n v="1"/>
    <x v="0"/>
    <n v="57380"/>
    <n v="1750"/>
    <n v="668"/>
    <x v="1348"/>
    <s v="0776393132"/>
  </r>
  <r>
    <s v="190010147"/>
    <s v="Swarnamali Auto Care"/>
    <x v="4"/>
    <x v="4"/>
    <s v="4227278838"/>
    <d v="2024-04-30T00:00:00"/>
    <n v="4"/>
    <x v="1"/>
    <n v="68037"/>
    <n v="68037"/>
    <n v="203"/>
    <x v="1349"/>
    <s v="0776393132"/>
  </r>
  <r>
    <s v="190010147"/>
    <s v="Swarnamali Auto Care"/>
    <x v="4"/>
    <x v="4"/>
    <s v="4227302109"/>
    <d v="2024-10-24T00:00:00"/>
    <n v="10"/>
    <x v="1"/>
    <n v="7434"/>
    <n v="7434"/>
    <n v="26"/>
    <x v="3"/>
    <s v="0776393132"/>
  </r>
  <r>
    <s v="190010147"/>
    <s v="Swarnamali Auto Care"/>
    <x v="4"/>
    <x v="4"/>
    <s v="4227302110"/>
    <d v="2024-10-24T00:00:00"/>
    <n v="10"/>
    <x v="1"/>
    <n v="7434"/>
    <n v="7434"/>
    <n v="26"/>
    <x v="3"/>
    <s v="0776393132"/>
  </r>
  <r>
    <s v="190010147"/>
    <s v="Swarnamali Auto Care"/>
    <x v="4"/>
    <x v="4"/>
    <s v="4227302140"/>
    <d v="2024-10-24T00:00:00"/>
    <n v="10"/>
    <x v="1"/>
    <n v="1500"/>
    <n v="1500"/>
    <n v="26"/>
    <x v="3"/>
    <s v="0776393132"/>
  </r>
  <r>
    <s v="190010147"/>
    <s v="Swarnamali Auto Care"/>
    <x v="4"/>
    <x v="4"/>
    <s v="4227302154"/>
    <d v="2024-10-24T00:00:00"/>
    <n v="10"/>
    <x v="1"/>
    <n v="17823"/>
    <n v="17823"/>
    <n v="26"/>
    <x v="3"/>
    <s v="0776393132"/>
  </r>
  <r>
    <s v="190010147"/>
    <s v="Swarnamali Auto Care"/>
    <x v="4"/>
    <x v="4"/>
    <s v="4227302759"/>
    <d v="2024-10-28T00:00:00"/>
    <n v="10"/>
    <x v="1"/>
    <n v="16284"/>
    <n v="16284"/>
    <n v="22"/>
    <x v="3"/>
    <s v="0776393132"/>
  </r>
  <r>
    <s v="190010147"/>
    <s v="Swarnamali Auto Care"/>
    <x v="4"/>
    <x v="4"/>
    <s v="5227015973"/>
    <d v="2024-11-18T00:00:00"/>
    <n v="11"/>
    <x v="1"/>
    <n v="-66524"/>
    <n v="-66524"/>
    <n v="1"/>
    <x v="3"/>
    <s v="0776393132"/>
  </r>
  <r>
    <s v="190010156"/>
    <s v="Acme Automobile"/>
    <x v="4"/>
    <x v="4"/>
    <s v="RTN CHQ - 554763"/>
    <d v="2022-09-02T00:00:00"/>
    <n v="9"/>
    <x v="6"/>
    <n v="24975"/>
    <n v="24975"/>
    <n v="809"/>
    <x v="1350"/>
    <s v="0112239592"/>
  </r>
  <r>
    <s v="190010156"/>
    <s v="Acme Automobile"/>
    <x v="4"/>
    <x v="4"/>
    <s v="4227220724"/>
    <d v="2022-09-21T00:00:00"/>
    <n v="9"/>
    <x v="6"/>
    <n v="23184"/>
    <n v="23184"/>
    <n v="790"/>
    <x v="1351"/>
    <s v="0112239592"/>
  </r>
  <r>
    <s v="190010156"/>
    <s v="Acme Automobile"/>
    <x v="4"/>
    <x v="4"/>
    <s v="4227220730"/>
    <d v="2022-09-21T00:00:00"/>
    <n v="9"/>
    <x v="6"/>
    <n v="11270"/>
    <n v="11270"/>
    <n v="790"/>
    <x v="0"/>
    <s v="0112239592"/>
  </r>
  <r>
    <s v="190010287"/>
    <s v="Subasinghe Motors"/>
    <x v="4"/>
    <x v="4"/>
    <s v="4227223181"/>
    <d v="2022-10-19T00:00:00"/>
    <n v="10"/>
    <x v="6"/>
    <n v="42849"/>
    <n v="14921"/>
    <n v="762"/>
    <x v="1352"/>
    <s v="0768082448"/>
  </r>
  <r>
    <s v="190010367"/>
    <s v="Hudson Auto"/>
    <x v="4"/>
    <x v="4"/>
    <s v="4227218428"/>
    <d v="2022-08-26T00:00:00"/>
    <n v="8"/>
    <x v="6"/>
    <n v="60480"/>
    <n v="60480"/>
    <n v="816"/>
    <x v="1353"/>
    <s v="0334337373"/>
  </r>
  <r>
    <s v="190010367"/>
    <s v="Hudson Auto"/>
    <x v="4"/>
    <x v="4"/>
    <s v="4227221298"/>
    <d v="2022-09-26T00:00:00"/>
    <n v="9"/>
    <x v="6"/>
    <n v="41400"/>
    <n v="3248"/>
    <n v="785"/>
    <x v="1354"/>
    <s v="0334337373"/>
  </r>
  <r>
    <s v="190010828"/>
    <s v="Dinesh Motors"/>
    <x v="4"/>
    <x v="4"/>
    <s v="4227225874"/>
    <d v="2022-11-21T00:00:00"/>
    <n v="11"/>
    <x v="6"/>
    <n v="6153"/>
    <n v="6153"/>
    <n v="729"/>
    <x v="1355"/>
    <s v="0767114724"/>
  </r>
  <r>
    <s v="190010880"/>
    <s v="New K. D. Motors"/>
    <x v="4"/>
    <x v="4"/>
    <s v="4227286006"/>
    <d v="2024-06-30T00:00:00"/>
    <n v="6"/>
    <x v="1"/>
    <n v="30627"/>
    <n v="1"/>
    <n v="142"/>
    <x v="519"/>
    <s v="113695035"/>
  </r>
  <r>
    <s v="190010880"/>
    <s v="New K. D. Motors"/>
    <x v="4"/>
    <x v="4"/>
    <s v="4227293144"/>
    <d v="2024-08-23T00:00:00"/>
    <n v="8"/>
    <x v="1"/>
    <n v="19234"/>
    <n v="19234"/>
    <n v="88"/>
    <x v="3"/>
    <s v="113695035"/>
  </r>
  <r>
    <s v="190010880"/>
    <s v="New K. D. Motors"/>
    <x v="4"/>
    <x v="4"/>
    <s v="4227293298"/>
    <d v="2024-08-24T00:00:00"/>
    <n v="8"/>
    <x v="1"/>
    <n v="26125"/>
    <n v="26125"/>
    <n v="87"/>
    <x v="3"/>
    <s v="113695035"/>
  </r>
  <r>
    <s v="190010880"/>
    <s v="New K. D. Motors"/>
    <x v="4"/>
    <x v="4"/>
    <s v="4227293340"/>
    <d v="2024-08-26T00:00:00"/>
    <n v="8"/>
    <x v="1"/>
    <n v="27527"/>
    <n v="27527"/>
    <n v="85"/>
    <x v="3"/>
    <s v="113695035"/>
  </r>
  <r>
    <s v="190010880"/>
    <s v="New K. D. Motors"/>
    <x v="4"/>
    <x v="4"/>
    <s v="4227294807"/>
    <d v="2024-08-31T00:00:00"/>
    <n v="8"/>
    <x v="1"/>
    <n v="13491"/>
    <n v="13491"/>
    <n v="80"/>
    <x v="3"/>
    <s v="113695035"/>
  </r>
  <r>
    <s v="190010880"/>
    <s v="New K. D. Motors"/>
    <x v="4"/>
    <x v="4"/>
    <s v="4227294808"/>
    <d v="2024-08-31T00:00:00"/>
    <n v="8"/>
    <x v="1"/>
    <n v="10620"/>
    <n v="10620"/>
    <n v="80"/>
    <x v="3"/>
    <s v="113695035"/>
  </r>
  <r>
    <s v="190010880"/>
    <s v="New K. D. Motors"/>
    <x v="4"/>
    <x v="4"/>
    <s v="4227300627"/>
    <d v="2024-10-14T00:00:00"/>
    <n v="10"/>
    <x v="1"/>
    <n v="9794"/>
    <n v="9794"/>
    <n v="36"/>
    <x v="3"/>
    <s v="113695035"/>
  </r>
  <r>
    <s v="190010880"/>
    <s v="New K. D. Motors"/>
    <x v="4"/>
    <x v="4"/>
    <s v="4227302397"/>
    <d v="2024-10-25T00:00:00"/>
    <n v="10"/>
    <x v="1"/>
    <n v="7118"/>
    <n v="7118"/>
    <n v="25"/>
    <x v="3"/>
    <s v="113695035"/>
  </r>
  <r>
    <s v="190011005"/>
    <s v="Vonmek Engineering"/>
    <x v="4"/>
    <x v="4"/>
    <s v="4227171187"/>
    <d v="2021-03-19T00:00:00"/>
    <n v="3"/>
    <x v="4"/>
    <n v="3348"/>
    <n v="653"/>
    <n v="1341"/>
    <x v="1356"/>
    <s v="0777220752"/>
  </r>
  <r>
    <s v="190011005"/>
    <s v="Vonmek Engineering"/>
    <x v="4"/>
    <x v="4"/>
    <s v="4227272304"/>
    <d v="2024-02-26T00:00:00"/>
    <n v="2"/>
    <x v="1"/>
    <n v="49755"/>
    <n v="20709"/>
    <n v="267"/>
    <x v="1357"/>
    <s v="0777220752"/>
  </r>
  <r>
    <s v="190011005"/>
    <s v="Vonmek Engineering"/>
    <x v="4"/>
    <x v="4"/>
    <s v="5227015643"/>
    <d v="2024-09-23T00:00:00"/>
    <n v="9"/>
    <x v="1"/>
    <n v="-20709"/>
    <n v="-20709"/>
    <n v="57"/>
    <x v="3"/>
    <s v="0777220752"/>
  </r>
  <r>
    <s v="190011257"/>
    <s v="Induwara Traders"/>
    <x v="4"/>
    <x v="4"/>
    <s v="4227227884"/>
    <d v="2022-12-15T00:00:00"/>
    <n v="12"/>
    <x v="6"/>
    <n v="13915"/>
    <n v="13915"/>
    <n v="705"/>
    <x v="1358"/>
    <s v="0763935601"/>
  </r>
  <r>
    <s v="190011337"/>
    <s v="Sakya Auto Work Shop"/>
    <x v="4"/>
    <x v="4"/>
    <s v="4227170404"/>
    <d v="2021-03-17T00:00:00"/>
    <n v="3"/>
    <x v="4"/>
    <n v="3402"/>
    <n v="1956"/>
    <n v="1343"/>
    <x v="1359"/>
    <s v="0701014485"/>
  </r>
  <r>
    <s v="190011337"/>
    <s v="Sakya Auto Work Shop"/>
    <x v="4"/>
    <x v="4"/>
    <s v="4227171609"/>
    <d v="2021-03-23T00:00:00"/>
    <n v="3"/>
    <x v="4"/>
    <n v="5184"/>
    <n v="5184"/>
    <n v="1337"/>
    <x v="102"/>
    <s v="0701014485"/>
  </r>
  <r>
    <s v="190011337"/>
    <s v="Sakya Auto Work Shop"/>
    <x v="4"/>
    <x v="4"/>
    <s v="4227173713"/>
    <d v="2021-04-09T00:00:00"/>
    <n v="4"/>
    <x v="4"/>
    <n v="2257"/>
    <n v="2257"/>
    <n v="1320"/>
    <x v="1360"/>
    <s v="0701014485"/>
  </r>
  <r>
    <s v="190011619"/>
    <s v="Euro Customers"/>
    <x v="4"/>
    <x v="4"/>
    <s v="4227249243"/>
    <d v="2023-07-31T00:00:00"/>
    <n v="7"/>
    <x v="0"/>
    <n v="330050"/>
    <n v="-938"/>
    <n v="477"/>
    <x v="1361"/>
    <s v="0711444799"/>
  </r>
  <r>
    <s v="190011619"/>
    <s v="Euro Customers"/>
    <x v="4"/>
    <x v="4"/>
    <s v="4227285033"/>
    <d v="2024-06-27T00:00:00"/>
    <n v="6"/>
    <x v="1"/>
    <n v="51937"/>
    <n v="51937"/>
    <n v="145"/>
    <x v="1362"/>
    <s v="0711444799"/>
  </r>
  <r>
    <s v="190011624"/>
    <s v="U. K. Auto Tec"/>
    <x v="4"/>
    <x v="4"/>
    <s v="4227294665"/>
    <d v="2024-08-30T00:00:00"/>
    <n v="8"/>
    <x v="1"/>
    <n v="29396"/>
    <n v="3459"/>
    <n v="81"/>
    <x v="3"/>
    <s v="0779375368"/>
  </r>
  <r>
    <s v="190011624"/>
    <s v="U. K. Auto Tec"/>
    <x v="4"/>
    <x v="4"/>
    <s v="4227296144"/>
    <d v="2024-09-12T00:00:00"/>
    <n v="9"/>
    <x v="1"/>
    <n v="12980"/>
    <n v="12980"/>
    <n v="68"/>
    <x v="3"/>
    <s v="0779375368"/>
  </r>
  <r>
    <s v="190011624"/>
    <s v="U. K. Auto Tec"/>
    <x v="4"/>
    <x v="4"/>
    <s v="4227296883"/>
    <d v="2024-09-20T00:00:00"/>
    <n v="9"/>
    <x v="1"/>
    <n v="35400"/>
    <n v="35400"/>
    <n v="60"/>
    <x v="3"/>
    <s v="0779375368"/>
  </r>
  <r>
    <s v="190011624"/>
    <s v="U. K. Auto Tec"/>
    <x v="4"/>
    <x v="4"/>
    <s v="4227296884"/>
    <d v="2024-09-20T00:00:00"/>
    <n v="9"/>
    <x v="1"/>
    <n v="10620"/>
    <n v="10620"/>
    <n v="60"/>
    <x v="3"/>
    <s v="0779375368"/>
  </r>
  <r>
    <s v="190011624"/>
    <s v="U. K. Auto Tec"/>
    <x v="4"/>
    <x v="4"/>
    <s v="4227301002"/>
    <d v="2024-10-16T00:00:00"/>
    <n v="10"/>
    <x v="1"/>
    <n v="14160"/>
    <n v="14160"/>
    <n v="34"/>
    <x v="3"/>
    <s v="0779375368"/>
  </r>
  <r>
    <s v="190011624"/>
    <s v="U. K. Auto Tec"/>
    <x v="4"/>
    <x v="4"/>
    <s v="4227305396"/>
    <d v="2024-11-11T00:00:00"/>
    <n v="11"/>
    <x v="1"/>
    <n v="14160"/>
    <n v="14160"/>
    <n v="8"/>
    <x v="3"/>
    <s v="0779375368"/>
  </r>
  <r>
    <s v="190011811"/>
    <s v="Gayashan Car Care"/>
    <x v="4"/>
    <x v="4"/>
    <s v="4227280792"/>
    <d v="2024-05-15T00:00:00"/>
    <n v="5"/>
    <x v="1"/>
    <n v="2950"/>
    <n v="2161"/>
    <n v="188"/>
    <x v="1363"/>
    <s v="0770330667"/>
  </r>
  <r>
    <s v="190011811"/>
    <s v="Gayashan Car Care"/>
    <x v="4"/>
    <x v="4"/>
    <s v="4227280976"/>
    <d v="2024-05-17T00:00:00"/>
    <n v="5"/>
    <x v="1"/>
    <n v="172044"/>
    <n v="172044"/>
    <n v="186"/>
    <x v="1364"/>
    <s v="0770330667"/>
  </r>
  <r>
    <s v="190011811"/>
    <s v="Gayashan Car Care"/>
    <x v="4"/>
    <x v="4"/>
    <s v="4227285842"/>
    <d v="2024-06-29T00:00:00"/>
    <n v="6"/>
    <x v="1"/>
    <n v="21240"/>
    <n v="21240"/>
    <n v="143"/>
    <x v="598"/>
    <s v="0770330667"/>
  </r>
  <r>
    <s v="190011811"/>
    <s v="Gayashan Car Care"/>
    <x v="4"/>
    <x v="4"/>
    <s v="4227285843"/>
    <d v="2024-06-29T00:00:00"/>
    <n v="6"/>
    <x v="1"/>
    <n v="19187"/>
    <n v="19187"/>
    <n v="143"/>
    <x v="1365"/>
    <s v="0770330667"/>
  </r>
  <r>
    <s v="190011811"/>
    <s v="Gayashan Car Care"/>
    <x v="4"/>
    <x v="4"/>
    <s v="4227285844"/>
    <d v="2024-06-29T00:00:00"/>
    <n v="6"/>
    <x v="1"/>
    <n v="265500"/>
    <n v="265500"/>
    <n v="143"/>
    <x v="759"/>
    <s v="0770330667"/>
  </r>
  <r>
    <s v="190011822"/>
    <s v="Battery Care (Pvt) Ltd"/>
    <x v="4"/>
    <x v="4"/>
    <s v="4227281136"/>
    <d v="2024-05-20T00:00:00"/>
    <n v="5"/>
    <x v="1"/>
    <n v="4366"/>
    <n v="708"/>
    <n v="183"/>
    <x v="1366"/>
    <s v="033 57121111"/>
  </r>
  <r>
    <s v="190011822"/>
    <s v="Battery Care (Pvt) Ltd"/>
    <x v="4"/>
    <x v="4"/>
    <s v="4227287025"/>
    <d v="2024-07-11T00:00:00"/>
    <n v="7"/>
    <x v="1"/>
    <n v="28320"/>
    <n v="13947"/>
    <n v="131"/>
    <x v="1367"/>
    <s v="033 57121111"/>
  </r>
  <r>
    <s v="190011822"/>
    <s v="Battery Care (Pvt) Ltd"/>
    <x v="4"/>
    <x v="4"/>
    <s v="4227304523"/>
    <d v="2024-11-01T00:00:00"/>
    <n v="11"/>
    <x v="1"/>
    <n v="28320"/>
    <n v="28320"/>
    <n v="18"/>
    <x v="3"/>
    <s v="033 57121111"/>
  </r>
  <r>
    <s v="190011840"/>
    <s v="Gunawardana Enterprices"/>
    <x v="4"/>
    <x v="4"/>
    <s v="4227175677"/>
    <d v="2021-04-30T00:00:00"/>
    <n v="4"/>
    <x v="4"/>
    <n v="6804"/>
    <n v="739.5"/>
    <n v="1299"/>
    <x v="1368"/>
    <s v="011244418"/>
  </r>
  <r>
    <s v="190011840"/>
    <s v="Gunawardana Enterprices"/>
    <x v="4"/>
    <x v="4"/>
    <s v="4227290058"/>
    <d v="2024-07-31T00:00:00"/>
    <n v="7"/>
    <x v="1"/>
    <n v="38827"/>
    <n v="2102.7600000000002"/>
    <n v="111"/>
    <x v="1369"/>
    <s v="011244418"/>
  </r>
  <r>
    <s v="190011840"/>
    <s v="Gunawardana Enterprices"/>
    <x v="4"/>
    <x v="4"/>
    <s v="4227296019"/>
    <d v="2024-09-11T00:00:00"/>
    <n v="9"/>
    <x v="1"/>
    <n v="4531"/>
    <n v="4531"/>
    <n v="69"/>
    <x v="3"/>
    <s v="011244418"/>
  </r>
  <r>
    <s v="190012140"/>
    <s v="C. H. S. Motors"/>
    <x v="4"/>
    <x v="4"/>
    <s v="4227185754"/>
    <d v="2021-09-14T00:00:00"/>
    <n v="9"/>
    <x v="4"/>
    <n v="12582"/>
    <n v="12582"/>
    <n v="1162"/>
    <x v="1370"/>
    <s v="0760423750"/>
  </r>
  <r>
    <s v="190012141"/>
    <s v="M. R. Motors"/>
    <x v="4"/>
    <x v="4"/>
    <s v="4227207473"/>
    <d v="2022-03-22T00:00:00"/>
    <n v="3"/>
    <x v="6"/>
    <n v="25488"/>
    <n v="3793"/>
    <n v="973"/>
    <x v="1371"/>
    <s v="0712223134"/>
  </r>
  <r>
    <s v="190012141"/>
    <s v="M. R. Motors"/>
    <x v="4"/>
    <x v="4"/>
    <s v="4227207897"/>
    <d v="2022-03-24T00:00:00"/>
    <n v="3"/>
    <x v="6"/>
    <n v="24397"/>
    <n v="24397"/>
    <n v="971"/>
    <x v="1372"/>
    <s v="0712223134"/>
  </r>
  <r>
    <s v="190012146"/>
    <s v="D. A. Motors"/>
    <x v="4"/>
    <x v="4"/>
    <s v="4227304274"/>
    <d v="2024-10-31T00:00:00"/>
    <n v="10"/>
    <x v="1"/>
    <n v="7567"/>
    <n v="7567"/>
    <n v="19"/>
    <x v="3"/>
    <s v="0713597239"/>
  </r>
  <r>
    <s v="190012196"/>
    <s v="C. P. S. Motors"/>
    <x v="4"/>
    <x v="4"/>
    <s v="4227291451"/>
    <d v="2024-08-09T00:00:00"/>
    <n v="8"/>
    <x v="1"/>
    <n v="14160"/>
    <n v="14160"/>
    <n v="102"/>
    <x v="406"/>
    <s v="0714341509"/>
  </r>
  <r>
    <s v="190012472"/>
    <s v="Kanishka Motors"/>
    <x v="4"/>
    <x v="4"/>
    <s v="4227298619"/>
    <d v="2024-09-30T00:00:00"/>
    <n v="9"/>
    <x v="1"/>
    <n v="113280"/>
    <n v="113280"/>
    <n v="50"/>
    <x v="3"/>
    <s v="0717341333"/>
  </r>
  <r>
    <s v="190012472"/>
    <s v="Kanishka Motors"/>
    <x v="4"/>
    <x v="4"/>
    <s v="4227303164"/>
    <d v="2024-10-30T00:00:00"/>
    <n v="10"/>
    <x v="1"/>
    <n v="81420"/>
    <n v="81420"/>
    <n v="20"/>
    <x v="3"/>
    <s v="0717341333"/>
  </r>
  <r>
    <s v="190013122"/>
    <s v="GL Auto Tech"/>
    <x v="4"/>
    <x v="4"/>
    <s v="212874 / 154211"/>
    <d v="2023-12-29T00:00:00"/>
    <n v="12"/>
    <x v="0"/>
    <n v="-2040"/>
    <n v="-2040"/>
    <n v="326"/>
    <x v="1373"/>
    <s v="0332250291"/>
  </r>
  <r>
    <s v="190013122"/>
    <s v="GL Auto Tech"/>
    <x v="4"/>
    <x v="4"/>
    <s v="4227285532"/>
    <d v="2024-06-28T00:00:00"/>
    <n v="6"/>
    <x v="1"/>
    <n v="265500"/>
    <n v="165500"/>
    <n v="144"/>
    <x v="1374"/>
    <s v="0332250291"/>
  </r>
  <r>
    <s v="190013122"/>
    <s v="GL Auto Tech"/>
    <x v="4"/>
    <x v="4"/>
    <s v="4227288777"/>
    <d v="2024-07-24T00:00:00"/>
    <n v="7"/>
    <x v="1"/>
    <n v="14226"/>
    <n v="14226"/>
    <n v="118"/>
    <x v="1375"/>
    <s v="0332250291"/>
  </r>
  <r>
    <s v="190013122"/>
    <s v="GL Auto Tech"/>
    <x v="4"/>
    <x v="4"/>
    <s v="4227288806"/>
    <d v="2024-07-24T00:00:00"/>
    <n v="7"/>
    <x v="1"/>
    <n v="35400"/>
    <n v="35400"/>
    <n v="118"/>
    <x v="352"/>
    <s v="0332250291"/>
  </r>
  <r>
    <s v="190013122"/>
    <s v="GL Auto Tech"/>
    <x v="4"/>
    <x v="4"/>
    <s v="4227288826"/>
    <d v="2024-07-24T00:00:00"/>
    <n v="7"/>
    <x v="1"/>
    <n v="56640"/>
    <n v="56640"/>
    <n v="118"/>
    <x v="330"/>
    <s v="0332250291"/>
  </r>
  <r>
    <s v="190013122"/>
    <s v="GL Auto Tech"/>
    <x v="4"/>
    <x v="4"/>
    <s v="4227289718"/>
    <d v="2024-07-30T00:00:00"/>
    <n v="7"/>
    <x v="1"/>
    <n v="1161"/>
    <n v="1161"/>
    <n v="112"/>
    <x v="1376"/>
    <s v="0332250291"/>
  </r>
  <r>
    <s v="190013122"/>
    <s v="GL Auto Tech"/>
    <x v="4"/>
    <x v="4"/>
    <s v="4227291619"/>
    <d v="2024-08-10T00:00:00"/>
    <n v="8"/>
    <x v="1"/>
    <n v="959"/>
    <n v="959"/>
    <n v="101"/>
    <x v="1377"/>
    <s v="0332250291"/>
  </r>
  <r>
    <s v="190013122"/>
    <s v="GL Auto Tech"/>
    <x v="4"/>
    <x v="4"/>
    <s v="4227294668"/>
    <d v="2024-08-30T00:00:00"/>
    <n v="8"/>
    <x v="1"/>
    <n v="35778"/>
    <n v="35778"/>
    <n v="81"/>
    <x v="3"/>
    <s v="0332250291"/>
  </r>
  <r>
    <s v="190013122"/>
    <s v="GL Auto Tech"/>
    <x v="4"/>
    <x v="4"/>
    <s v="4227294669"/>
    <d v="2024-08-30T00:00:00"/>
    <n v="8"/>
    <x v="1"/>
    <n v="17294"/>
    <n v="17294"/>
    <n v="81"/>
    <x v="3"/>
    <s v="0332250291"/>
  </r>
  <r>
    <s v="190013122"/>
    <s v="GL Auto Tech"/>
    <x v="4"/>
    <x v="4"/>
    <s v="4227294670"/>
    <d v="2024-08-30T00:00:00"/>
    <n v="8"/>
    <x v="1"/>
    <n v="37329"/>
    <n v="37329"/>
    <n v="81"/>
    <x v="3"/>
    <s v="0332250291"/>
  </r>
  <r>
    <s v="190013122"/>
    <s v="GL Auto Tech"/>
    <x v="4"/>
    <x v="4"/>
    <s v="4227303167"/>
    <d v="2024-10-30T00:00:00"/>
    <n v="10"/>
    <x v="1"/>
    <n v="59142"/>
    <n v="59142"/>
    <n v="20"/>
    <x v="3"/>
    <s v="0332250291"/>
  </r>
  <r>
    <s v="190013122"/>
    <s v="GL Auto Tech"/>
    <x v="4"/>
    <x v="4"/>
    <s v="4227303168"/>
    <d v="2024-10-30T00:00:00"/>
    <n v="10"/>
    <x v="1"/>
    <n v="5532"/>
    <n v="5532"/>
    <n v="20"/>
    <x v="3"/>
    <s v="0332250291"/>
  </r>
  <r>
    <s v="190013122"/>
    <s v="GL Auto Tech"/>
    <x v="4"/>
    <x v="4"/>
    <s v="4227303339"/>
    <d v="2024-10-30T00:00:00"/>
    <n v="10"/>
    <x v="1"/>
    <n v="18467"/>
    <n v="18467"/>
    <n v="20"/>
    <x v="3"/>
    <s v="0332250291"/>
  </r>
  <r>
    <s v="190013122"/>
    <s v="GL Auto Tech"/>
    <x v="4"/>
    <x v="4"/>
    <s v="4227303950"/>
    <d v="2024-10-31T00:00:00"/>
    <n v="10"/>
    <x v="1"/>
    <n v="99545"/>
    <n v="99545"/>
    <n v="19"/>
    <x v="3"/>
    <s v="0332250291"/>
  </r>
  <r>
    <s v="190013545"/>
    <s v="J. L. R. Motors"/>
    <x v="4"/>
    <x v="4"/>
    <s v="4227298621"/>
    <d v="2024-09-30T00:00:00"/>
    <n v="9"/>
    <x v="1"/>
    <n v="27730"/>
    <n v="27730"/>
    <n v="50"/>
    <x v="3"/>
    <s v="0777327575"/>
  </r>
  <r>
    <s v="190013545"/>
    <s v="J. L. R. Motors"/>
    <x v="4"/>
    <x v="4"/>
    <s v="4227298622"/>
    <d v="2024-09-30T00:00:00"/>
    <n v="9"/>
    <x v="1"/>
    <n v="17700"/>
    <n v="17700"/>
    <n v="50"/>
    <x v="3"/>
    <s v="0777327575"/>
  </r>
  <r>
    <s v="190013545"/>
    <s v="J. L. R. Motors"/>
    <x v="4"/>
    <x v="4"/>
    <s v="4227298623"/>
    <d v="2024-09-30T00:00:00"/>
    <n v="9"/>
    <x v="1"/>
    <n v="49772"/>
    <n v="49772"/>
    <n v="50"/>
    <x v="3"/>
    <s v="0777327575"/>
  </r>
  <r>
    <s v="190013546"/>
    <s v="Janaka Motors"/>
    <x v="4"/>
    <x v="4"/>
    <s v="220453"/>
    <d v="2024-02-28T00:00:00"/>
    <n v="2"/>
    <x v="1"/>
    <n v="-20000"/>
    <n v="-11430"/>
    <n v="265"/>
    <x v="1378"/>
    <s v="0779324298"/>
  </r>
  <r>
    <s v="190013546"/>
    <s v="Janaka Motors"/>
    <x v="4"/>
    <x v="4"/>
    <s v="4227251100"/>
    <d v="2023-08-18T00:00:00"/>
    <n v="8"/>
    <x v="0"/>
    <n v="106590"/>
    <n v="5655"/>
    <n v="459"/>
    <x v="1379"/>
    <s v="0779324298"/>
  </r>
  <r>
    <s v="190013546"/>
    <s v="Janaka Motors"/>
    <x v="4"/>
    <x v="4"/>
    <s v="4227253196"/>
    <d v="2023-09-06T00:00:00"/>
    <n v="9"/>
    <x v="0"/>
    <n v="5775"/>
    <n v="5775"/>
    <n v="440"/>
    <x v="1380"/>
    <s v="0779324298"/>
  </r>
  <r>
    <s v="190013546"/>
    <s v="Janaka Motors"/>
    <x v="4"/>
    <x v="4"/>
    <s v="4227276520"/>
    <d v="2024-03-28T00:00:00"/>
    <n v="3"/>
    <x v="1"/>
    <n v="78103"/>
    <n v="2927"/>
    <n v="236"/>
    <x v="1381"/>
    <s v="0779324298"/>
  </r>
  <r>
    <s v="190013546"/>
    <s v="Janaka Motors"/>
    <x v="4"/>
    <x v="4"/>
    <s v="4227278593"/>
    <d v="2024-04-30T00:00:00"/>
    <n v="4"/>
    <x v="1"/>
    <n v="7375"/>
    <n v="7375"/>
    <n v="203"/>
    <x v="1382"/>
    <s v="0779324298"/>
  </r>
  <r>
    <s v="190013546"/>
    <s v="Janaka Motors"/>
    <x v="4"/>
    <x v="4"/>
    <s v="4227278594"/>
    <d v="2024-04-30T00:00:00"/>
    <n v="4"/>
    <x v="1"/>
    <n v="17245"/>
    <n v="17245"/>
    <n v="203"/>
    <x v="1383"/>
    <s v="0779324298"/>
  </r>
  <r>
    <s v="190013546"/>
    <s v="Janaka Motors"/>
    <x v="4"/>
    <x v="4"/>
    <s v="4227290719"/>
    <d v="2024-07-31T00:00:00"/>
    <n v="7"/>
    <x v="1"/>
    <n v="119018"/>
    <n v="69018"/>
    <n v="111"/>
    <x v="1384"/>
    <s v="0779324298"/>
  </r>
  <r>
    <s v="190013546"/>
    <s v="Janaka Motors"/>
    <x v="4"/>
    <x v="4"/>
    <s v="4227291927"/>
    <d v="2024-08-13T00:00:00"/>
    <n v="8"/>
    <x v="1"/>
    <n v="12843"/>
    <n v="12843"/>
    <n v="98"/>
    <x v="1385"/>
    <s v="0779324298"/>
  </r>
  <r>
    <s v="190013548"/>
    <s v="Dream D Enterprises"/>
    <x v="4"/>
    <x v="4"/>
    <s v="4227278692"/>
    <d v="2024-04-30T00:00:00"/>
    <n v="4"/>
    <x v="1"/>
    <n v="318600"/>
    <n v="318600"/>
    <n v="203"/>
    <x v="1386"/>
    <s v="0714527196"/>
  </r>
  <r>
    <s v="190013561"/>
    <s v="Thissa Electricals"/>
    <x v="4"/>
    <x v="4"/>
    <s v="4227290728"/>
    <d v="2024-07-31T00:00:00"/>
    <n v="7"/>
    <x v="1"/>
    <n v="112985"/>
    <n v="79773"/>
    <n v="111"/>
    <x v="1387"/>
    <s v="0332226402"/>
  </r>
  <r>
    <s v="190013561"/>
    <s v="Thissa Electricals"/>
    <x v="4"/>
    <x v="4"/>
    <s v="4227290729"/>
    <d v="2024-07-31T00:00:00"/>
    <n v="7"/>
    <x v="1"/>
    <n v="13664"/>
    <n v="13664"/>
    <n v="111"/>
    <x v="1388"/>
    <s v="0332226402"/>
  </r>
  <r>
    <s v="190013561"/>
    <s v="Thissa Electricals"/>
    <x v="4"/>
    <x v="4"/>
    <s v="4227304476"/>
    <d v="2024-10-31T00:00:00"/>
    <n v="10"/>
    <x v="1"/>
    <n v="119935"/>
    <n v="119935"/>
    <n v="19"/>
    <x v="3"/>
    <s v="0332226402"/>
  </r>
  <r>
    <s v="190013562"/>
    <s v="Imbulana Auto Care"/>
    <x v="4"/>
    <x v="4"/>
    <s v="4227252932"/>
    <d v="2023-09-04T00:00:00"/>
    <n v="9"/>
    <x v="0"/>
    <n v="10110"/>
    <n v="10110"/>
    <n v="442"/>
    <x v="1389"/>
    <s v="0774122797"/>
  </r>
  <r>
    <s v="190013580"/>
    <s v="V S Auto Tech (Pvt) Ltd"/>
    <x v="4"/>
    <x v="4"/>
    <s v="236820"/>
    <d v="2024-09-28T00:00:00"/>
    <n v="9"/>
    <x v="1"/>
    <n v="-2"/>
    <n v="-2"/>
    <n v="52"/>
    <x v="3"/>
    <s v="0777190539"/>
  </r>
  <r>
    <s v="190013580"/>
    <s v="V S Auto Tech (Pvt) Ltd"/>
    <x v="4"/>
    <x v="4"/>
    <s v="236837 / 617025"/>
    <d v="2024-10-24T00:00:00"/>
    <n v="10"/>
    <x v="1"/>
    <n v="-0.4"/>
    <n v="-0.4"/>
    <n v="26"/>
    <x v="3"/>
    <s v="0777190539"/>
  </r>
  <r>
    <s v="190013580"/>
    <s v="V S Auto Tech (Pvt) Ltd"/>
    <x v="4"/>
    <x v="4"/>
    <s v="4227286072"/>
    <d v="2024-06-30T00:00:00"/>
    <n v="6"/>
    <x v="1"/>
    <n v="27527"/>
    <n v="0.36"/>
    <n v="142"/>
    <x v="1390"/>
    <s v="0777190539"/>
  </r>
  <r>
    <s v="190013580"/>
    <s v="V S Auto Tech (Pvt) Ltd"/>
    <x v="4"/>
    <x v="4"/>
    <s v="4227298551"/>
    <d v="2024-09-30T00:00:00"/>
    <n v="9"/>
    <x v="1"/>
    <n v="26243"/>
    <n v="26243"/>
    <n v="50"/>
    <x v="3"/>
    <s v="0777190539"/>
  </r>
  <r>
    <s v="190013580"/>
    <s v="V S Auto Tech (Pvt) Ltd"/>
    <x v="4"/>
    <x v="4"/>
    <s v="4227298553"/>
    <d v="2024-09-30T00:00:00"/>
    <n v="9"/>
    <x v="1"/>
    <n v="50381"/>
    <n v="50381"/>
    <n v="50"/>
    <x v="3"/>
    <s v="0777190539"/>
  </r>
  <r>
    <s v="190013580"/>
    <s v="V S Auto Tech (Pvt) Ltd"/>
    <x v="4"/>
    <x v="4"/>
    <s v="4227300968"/>
    <d v="2024-10-16T00:00:00"/>
    <n v="10"/>
    <x v="1"/>
    <n v="2525"/>
    <n v="2525"/>
    <n v="34"/>
    <x v="3"/>
    <s v="0777190539"/>
  </r>
  <r>
    <s v="190013594"/>
    <s v="Skyline Auto Engineers"/>
    <x v="4"/>
    <x v="4"/>
    <s v="204390/654492"/>
    <d v="2023-07-17T00:00:00"/>
    <n v="7"/>
    <x v="0"/>
    <n v="-887"/>
    <n v="-887"/>
    <n v="491"/>
    <x v="1391"/>
    <s v="0778939155"/>
  </r>
  <r>
    <s v="190013594"/>
    <s v="Skyline Auto Engineers"/>
    <x v="4"/>
    <x v="4"/>
    <s v="231254/807351"/>
    <d v="2024-07-31T00:00:00"/>
    <n v="7"/>
    <x v="1"/>
    <n v="-7732"/>
    <n v="-7732"/>
    <n v="111"/>
    <x v="1392"/>
    <s v="0778939155"/>
  </r>
  <r>
    <s v="190013594"/>
    <s v="Skyline Auto Engineers"/>
    <x v="4"/>
    <x v="4"/>
    <s v="4227240571"/>
    <d v="2023-05-09T00:00:00"/>
    <n v="5"/>
    <x v="0"/>
    <n v="47865"/>
    <n v="2144"/>
    <n v="560"/>
    <x v="1393"/>
    <s v="0778939155"/>
  </r>
  <r>
    <s v="190013594"/>
    <s v="Skyline Auto Engineers"/>
    <x v="4"/>
    <x v="4"/>
    <s v="4227250956"/>
    <d v="2023-08-17T00:00:00"/>
    <n v="8"/>
    <x v="0"/>
    <n v="63551"/>
    <n v="8958"/>
    <n v="460"/>
    <x v="1394"/>
    <s v="0778939155"/>
  </r>
  <r>
    <s v="190013594"/>
    <s v="Skyline Auto Engineers"/>
    <x v="4"/>
    <x v="4"/>
    <s v="4227281038"/>
    <d v="2024-05-18T00:00:00"/>
    <n v="5"/>
    <x v="1"/>
    <n v="31675"/>
    <n v="2183"/>
    <n v="185"/>
    <x v="1395"/>
    <s v="0778939155"/>
  </r>
  <r>
    <s v="190013594"/>
    <s v="Skyline Auto Engineers"/>
    <x v="4"/>
    <x v="4"/>
    <s v="4227290678"/>
    <d v="2024-07-31T00:00:00"/>
    <n v="7"/>
    <x v="1"/>
    <n v="81526"/>
    <n v="766"/>
    <n v="111"/>
    <x v="1396"/>
    <s v="0778939155"/>
  </r>
  <r>
    <s v="190013594"/>
    <s v="Skyline Auto Engineers"/>
    <x v="4"/>
    <x v="4"/>
    <s v="4227303179"/>
    <d v="2024-10-30T00:00:00"/>
    <n v="10"/>
    <x v="1"/>
    <n v="16284"/>
    <n v="16284"/>
    <n v="20"/>
    <x v="3"/>
    <s v="0778939155"/>
  </r>
  <r>
    <s v="190013597"/>
    <s v="A Green Park Car Care"/>
    <x v="4"/>
    <x v="4"/>
    <s v="222608 / 134640"/>
    <d v="2024-03-27T00:00:00"/>
    <n v="3"/>
    <x v="1"/>
    <n v="-24189"/>
    <n v="-3247"/>
    <n v="237"/>
    <x v="1397"/>
    <s v="0332226839"/>
  </r>
  <r>
    <s v="190013597"/>
    <s v="A Green Park Car Care"/>
    <x v="4"/>
    <x v="4"/>
    <s v="225194/016940"/>
    <d v="2024-05-31T00:00:00"/>
    <n v="5"/>
    <x v="1"/>
    <n v="-12462"/>
    <n v="-12462"/>
    <n v="172"/>
    <x v="1398"/>
    <s v="0332226839"/>
  </r>
  <r>
    <s v="190013597"/>
    <s v="A Green Park Car Care"/>
    <x v="4"/>
    <x v="4"/>
    <s v="409 / 114265"/>
    <d v="2023-06-29T00:00:00"/>
    <n v="6"/>
    <x v="0"/>
    <n v="-45798"/>
    <n v="-45798"/>
    <n v="509"/>
    <x v="1399"/>
    <s v="0332226839"/>
  </r>
  <r>
    <s v="190013597"/>
    <s v="A Green Park Car Care"/>
    <x v="4"/>
    <x v="4"/>
    <s v="4227243142"/>
    <d v="2023-05-31T00:00:00"/>
    <n v="5"/>
    <x v="0"/>
    <n v="39308"/>
    <n v="39308"/>
    <n v="538"/>
    <x v="1400"/>
    <s v="0332226839"/>
  </r>
  <r>
    <s v="190013597"/>
    <s v="A Green Park Car Care"/>
    <x v="4"/>
    <x v="4"/>
    <s v="4227262655"/>
    <d v="2023-11-24T00:00:00"/>
    <n v="11"/>
    <x v="0"/>
    <n v="71415"/>
    <n v="71415"/>
    <n v="361"/>
    <x v="1401"/>
    <s v="0332226839"/>
  </r>
  <r>
    <s v="190013597"/>
    <s v="A Green Park Car Care"/>
    <x v="4"/>
    <x v="4"/>
    <s v="4227265616"/>
    <d v="2023-12-28T00:00:00"/>
    <n v="12"/>
    <x v="0"/>
    <n v="14490"/>
    <n v="3919"/>
    <n v="327"/>
    <x v="1402"/>
    <s v="0332226839"/>
  </r>
  <r>
    <s v="190013597"/>
    <s v="A Green Park Car Care"/>
    <x v="4"/>
    <x v="4"/>
    <s v="4227272168"/>
    <d v="2024-02-26T00:00:00"/>
    <n v="2"/>
    <x v="1"/>
    <n v="38970"/>
    <n v="38970"/>
    <n v="267"/>
    <x v="1403"/>
    <s v="0332226839"/>
  </r>
  <r>
    <s v="190013597"/>
    <s v="A Green Park Car Care"/>
    <x v="4"/>
    <x v="4"/>
    <s v="4227275294"/>
    <d v="2024-03-21T00:00:00"/>
    <n v="3"/>
    <x v="1"/>
    <n v="46728"/>
    <n v="4901"/>
    <n v="243"/>
    <x v="1404"/>
    <s v="0332226839"/>
  </r>
  <r>
    <s v="190013597"/>
    <s v="A Green Park Car Care"/>
    <x v="4"/>
    <x v="4"/>
    <s v="4227276682"/>
    <d v="2024-03-28T00:00:00"/>
    <n v="3"/>
    <x v="1"/>
    <n v="17523"/>
    <n v="4220"/>
    <n v="236"/>
    <x v="1405"/>
    <s v="0332226839"/>
  </r>
  <r>
    <s v="190013597"/>
    <s v="A Green Park Car Care"/>
    <x v="4"/>
    <x v="4"/>
    <s v="4227291821"/>
    <d v="2024-08-13T00:00:00"/>
    <n v="8"/>
    <x v="1"/>
    <n v="29736"/>
    <n v="14036.5"/>
    <n v="98"/>
    <x v="1406"/>
    <s v="0332226839"/>
  </r>
  <r>
    <s v="190013597"/>
    <s v="A Green Park Car Care"/>
    <x v="4"/>
    <x v="4"/>
    <s v="4227294253"/>
    <d v="2024-08-29T00:00:00"/>
    <n v="8"/>
    <x v="1"/>
    <n v="98695"/>
    <n v="98695"/>
    <n v="82"/>
    <x v="3"/>
    <s v="0332226839"/>
  </r>
  <r>
    <s v="190013597"/>
    <s v="A Green Park Car Care"/>
    <x v="4"/>
    <x v="4"/>
    <s v="4227294254"/>
    <d v="2024-08-29T00:00:00"/>
    <n v="8"/>
    <x v="1"/>
    <n v="29736"/>
    <n v="29736"/>
    <n v="82"/>
    <x v="3"/>
    <s v="0332226839"/>
  </r>
  <r>
    <s v="190013598"/>
    <s v="Pasyala  Cabs &amp; Tours"/>
    <x v="4"/>
    <x v="4"/>
    <s v="RTN CHQ - 96008"/>
    <d v="2023-05-25T00:00:00"/>
    <n v="5"/>
    <x v="0"/>
    <n v="120582"/>
    <n v="100602"/>
    <n v="544"/>
    <x v="1407"/>
    <s v="0355705705"/>
  </r>
  <r>
    <s v="190013621"/>
    <s v="Prabath Motors And Distributores"/>
    <x v="4"/>
    <x v="4"/>
    <s v="236841/682618"/>
    <d v="2024-10-23T00:00:00"/>
    <n v="10"/>
    <x v="1"/>
    <n v="-17275"/>
    <n v="-17275"/>
    <n v="27"/>
    <x v="3"/>
    <s v="0760944733"/>
  </r>
  <r>
    <s v="190013621"/>
    <s v="Prabath Motors And Distributores"/>
    <x v="4"/>
    <x v="4"/>
    <s v="4227284587"/>
    <d v="2024-06-24T00:00:00"/>
    <n v="6"/>
    <x v="1"/>
    <n v="19470"/>
    <n v="19470"/>
    <n v="148"/>
    <x v="949"/>
    <s v="0760944733"/>
  </r>
  <r>
    <s v="190013621"/>
    <s v="Prabath Motors And Distributores"/>
    <x v="4"/>
    <x v="4"/>
    <s v="4227285392"/>
    <d v="2024-06-28T00:00:00"/>
    <n v="6"/>
    <x v="1"/>
    <n v="137635"/>
    <n v="6018"/>
    <n v="144"/>
    <x v="1408"/>
    <s v="0760944733"/>
  </r>
  <r>
    <s v="190013621"/>
    <s v="Prabath Motors And Distributores"/>
    <x v="4"/>
    <x v="4"/>
    <s v="4227285393"/>
    <d v="2024-06-28T00:00:00"/>
    <n v="6"/>
    <x v="1"/>
    <n v="112147"/>
    <n v="4673"/>
    <n v="144"/>
    <x v="1409"/>
    <s v="0760944733"/>
  </r>
  <r>
    <s v="190013621"/>
    <s v="Prabath Motors And Distributores"/>
    <x v="4"/>
    <x v="4"/>
    <s v="4227304477"/>
    <d v="2024-10-31T00:00:00"/>
    <n v="10"/>
    <x v="1"/>
    <n v="29736"/>
    <n v="29736"/>
    <n v="19"/>
    <x v="3"/>
    <s v="0760944733"/>
  </r>
  <r>
    <s v="190013621"/>
    <s v="Prabath Motors And Distributores"/>
    <x v="4"/>
    <x v="4"/>
    <s v="4227304478"/>
    <d v="2024-10-31T00:00:00"/>
    <n v="10"/>
    <x v="1"/>
    <n v="398179"/>
    <n v="398179"/>
    <n v="19"/>
    <x v="3"/>
    <s v="0760944733"/>
  </r>
  <r>
    <s v="190013621"/>
    <s v="Prabath Motors And Distributores"/>
    <x v="4"/>
    <x v="4"/>
    <s v="4227304479"/>
    <d v="2024-10-31T00:00:00"/>
    <n v="10"/>
    <x v="1"/>
    <n v="8570"/>
    <n v="8570"/>
    <n v="19"/>
    <x v="3"/>
    <s v="0760944733"/>
  </r>
  <r>
    <s v="190013621"/>
    <s v="Prabath Motors And Distributores"/>
    <x v="4"/>
    <x v="4"/>
    <s v="4227304480"/>
    <d v="2024-10-31T00:00:00"/>
    <n v="10"/>
    <x v="1"/>
    <n v="5201"/>
    <n v="5201"/>
    <n v="19"/>
    <x v="3"/>
    <s v="0760944733"/>
  </r>
  <r>
    <s v="190013621"/>
    <s v="Prabath Motors And Distributores"/>
    <x v="4"/>
    <x v="4"/>
    <s v="4227304481"/>
    <d v="2024-10-31T00:00:00"/>
    <n v="10"/>
    <x v="1"/>
    <n v="29736"/>
    <n v="29736"/>
    <n v="19"/>
    <x v="3"/>
    <s v="0760944733"/>
  </r>
  <r>
    <s v="190013672"/>
    <s v="Redact Holdings (Pvt) Ltd"/>
    <x v="4"/>
    <x v="4"/>
    <s v="228389"/>
    <d v="2024-06-30T00:00:00"/>
    <n v="6"/>
    <x v="1"/>
    <n v="-2487"/>
    <n v="-2487"/>
    <n v="142"/>
    <x v="1410"/>
    <s v="0332222477"/>
  </r>
  <r>
    <s v="190013672"/>
    <s v="Redact Holdings (Pvt) Ltd"/>
    <x v="4"/>
    <x v="4"/>
    <s v="4227246252"/>
    <d v="2023-06-30T00:00:00"/>
    <n v="6"/>
    <x v="0"/>
    <n v="61830"/>
    <n v="26985"/>
    <n v="508"/>
    <x v="1411"/>
    <s v="0332222477"/>
  </r>
  <r>
    <s v="190013672"/>
    <s v="Redact Holdings (Pvt) Ltd"/>
    <x v="4"/>
    <x v="4"/>
    <s v="4227246253"/>
    <d v="2023-06-30T00:00:00"/>
    <n v="6"/>
    <x v="0"/>
    <n v="34424"/>
    <n v="423"/>
    <n v="508"/>
    <x v="1412"/>
    <s v="0332222477"/>
  </r>
  <r>
    <s v="190013863"/>
    <s v="Sameera Cycle Works"/>
    <x v="4"/>
    <x v="4"/>
    <s v="4227252256"/>
    <d v="2023-08-29T00:00:00"/>
    <n v="8"/>
    <x v="0"/>
    <n v="22080"/>
    <n v="15000"/>
    <n v="448"/>
    <x v="1413"/>
    <s v="0718456802"/>
  </r>
  <r>
    <s v="190013999"/>
    <s v="Battery House (Pvt) Ltd"/>
    <x v="4"/>
    <x v="4"/>
    <s v="4227277416"/>
    <d v="2024-04-09T00:00:00"/>
    <n v="4"/>
    <x v="1"/>
    <n v="102495"/>
    <n v="3495"/>
    <n v="224"/>
    <x v="1414"/>
    <s v="0778038351"/>
  </r>
  <r>
    <s v="190013999"/>
    <s v="Battery House (Pvt) Ltd"/>
    <x v="4"/>
    <x v="4"/>
    <s v="4227291929"/>
    <d v="2024-08-13T00:00:00"/>
    <n v="8"/>
    <x v="1"/>
    <n v="56640"/>
    <n v="56640"/>
    <n v="98"/>
    <x v="330"/>
    <s v="0778038351"/>
  </r>
  <r>
    <s v="190014005"/>
    <s v="Seyota Nest"/>
    <x v="4"/>
    <x v="4"/>
    <s v="4227302275"/>
    <d v="2024-10-25T00:00:00"/>
    <n v="10"/>
    <x v="1"/>
    <n v="11328"/>
    <n v="11328"/>
    <n v="25"/>
    <x v="3"/>
    <s v="0710899983"/>
  </r>
  <r>
    <s v="190014005"/>
    <s v="Seyota Nest"/>
    <x v="4"/>
    <x v="4"/>
    <s v="4227303182"/>
    <d v="2024-10-30T00:00:00"/>
    <n v="10"/>
    <x v="1"/>
    <n v="8850"/>
    <n v="8850"/>
    <n v="20"/>
    <x v="3"/>
    <s v="0710899983"/>
  </r>
  <r>
    <s v="190014005"/>
    <s v="Seyota Nest"/>
    <x v="4"/>
    <x v="4"/>
    <s v="4227305024"/>
    <d v="2024-11-07T00:00:00"/>
    <n v="11"/>
    <x v="1"/>
    <n v="104265"/>
    <n v="104265"/>
    <n v="12"/>
    <x v="3"/>
    <s v="0710899983"/>
  </r>
  <r>
    <s v="190014005"/>
    <s v="Seyota Nest"/>
    <x v="4"/>
    <x v="4"/>
    <s v="4227305395"/>
    <d v="2024-11-11T00:00:00"/>
    <n v="11"/>
    <x v="1"/>
    <n v="21240"/>
    <n v="21240"/>
    <n v="8"/>
    <x v="3"/>
    <s v="0710899983"/>
  </r>
  <r>
    <s v="190014034"/>
    <s v="C. H. Auto Accessories"/>
    <x v="4"/>
    <x v="4"/>
    <s v="230240"/>
    <d v="2024-07-30T00:00:00"/>
    <n v="7"/>
    <x v="1"/>
    <n v="-42921"/>
    <n v="-42921"/>
    <n v="112"/>
    <x v="1415"/>
    <s v="0706976173"/>
  </r>
  <r>
    <s v="190014034"/>
    <s v="C. H. Auto Accessories"/>
    <x v="4"/>
    <x v="4"/>
    <s v="4227286014"/>
    <d v="2024-06-30T00:00:00"/>
    <n v="6"/>
    <x v="1"/>
    <n v="46020"/>
    <n v="46020"/>
    <n v="142"/>
    <x v="676"/>
    <s v="0706976173"/>
  </r>
  <r>
    <s v="190014034"/>
    <s v="C. H. Auto Accessories"/>
    <x v="4"/>
    <x v="4"/>
    <s v="4227293678"/>
    <d v="2024-08-27T00:00:00"/>
    <n v="8"/>
    <x v="1"/>
    <n v="61791"/>
    <n v="61791"/>
    <n v="84"/>
    <x v="3"/>
    <s v="0706976173"/>
  </r>
  <r>
    <s v="190014034"/>
    <s v="C. H. Auto Accessories"/>
    <x v="4"/>
    <x v="4"/>
    <s v="4227294938"/>
    <d v="2024-08-31T00:00:00"/>
    <n v="8"/>
    <x v="1"/>
    <n v="79650"/>
    <n v="79650"/>
    <n v="80"/>
    <x v="3"/>
    <s v="0706976173"/>
  </r>
  <r>
    <s v="190014102"/>
    <s v="Dawala Auto Care"/>
    <x v="4"/>
    <x v="4"/>
    <s v="4227257471"/>
    <d v="2023-10-07T00:00:00"/>
    <n v="10"/>
    <x v="0"/>
    <n v="52406"/>
    <n v="5244"/>
    <n v="409"/>
    <x v="1416"/>
    <s v="0714566264"/>
  </r>
  <r>
    <s v="190014102"/>
    <s v="Dawala Auto Care"/>
    <x v="4"/>
    <x v="4"/>
    <s v="4227258398"/>
    <d v="2023-10-18T00:00:00"/>
    <n v="10"/>
    <x v="0"/>
    <n v="7728"/>
    <n v="7728"/>
    <n v="398"/>
    <x v="1417"/>
    <s v="0714566264"/>
  </r>
  <r>
    <s v="190014102"/>
    <s v="Dawala Auto Care"/>
    <x v="4"/>
    <x v="4"/>
    <s v="4227258408"/>
    <d v="2023-10-18T00:00:00"/>
    <n v="10"/>
    <x v="0"/>
    <n v="7728"/>
    <n v="7728"/>
    <n v="398"/>
    <x v="1417"/>
    <s v="0714566264"/>
  </r>
  <r>
    <s v="190014102"/>
    <s v="Dawala Auto Care"/>
    <x v="4"/>
    <x v="4"/>
    <s v="4227287014"/>
    <d v="2024-07-11T00:00:00"/>
    <n v="7"/>
    <x v="1"/>
    <n v="13688"/>
    <n v="0"/>
    <n v="131"/>
    <x v="345"/>
    <s v="0714566264"/>
  </r>
  <r>
    <s v="190014102"/>
    <s v="Dawala Auto Care"/>
    <x v="4"/>
    <x v="4"/>
    <s v="4227290731"/>
    <d v="2024-07-31T00:00:00"/>
    <n v="7"/>
    <x v="1"/>
    <n v="56640"/>
    <n v="56640"/>
    <n v="111"/>
    <x v="330"/>
    <s v="0714566264"/>
  </r>
  <r>
    <s v="190014102"/>
    <s v="Dawala Auto Care"/>
    <x v="4"/>
    <x v="4"/>
    <s v="4227297252"/>
    <d v="2024-09-20T00:00:00"/>
    <n v="9"/>
    <x v="1"/>
    <n v="63720"/>
    <n v="63720"/>
    <n v="60"/>
    <x v="3"/>
    <s v="0714566264"/>
  </r>
  <r>
    <s v="190014102"/>
    <s v="Dawala Auto Care"/>
    <x v="4"/>
    <x v="4"/>
    <s v="4227297253"/>
    <d v="2024-09-20T00:00:00"/>
    <n v="9"/>
    <x v="1"/>
    <n v="51283"/>
    <n v="51283"/>
    <n v="60"/>
    <x v="3"/>
    <s v="0714566264"/>
  </r>
  <r>
    <s v="190014102"/>
    <s v="Dawala Auto Care"/>
    <x v="4"/>
    <x v="4"/>
    <s v="4227297254"/>
    <d v="2024-09-20T00:00:00"/>
    <n v="9"/>
    <x v="1"/>
    <n v="49665"/>
    <n v="49665"/>
    <n v="60"/>
    <x v="3"/>
    <s v="0714566264"/>
  </r>
  <r>
    <s v="190014102"/>
    <s v="Dawala Auto Care"/>
    <x v="4"/>
    <x v="4"/>
    <s v="4227297255"/>
    <d v="2024-09-20T00:00:00"/>
    <n v="9"/>
    <x v="1"/>
    <n v="13216"/>
    <n v="13216"/>
    <n v="60"/>
    <x v="3"/>
    <s v="0714566264"/>
  </r>
  <r>
    <s v="190014102"/>
    <s v="Dawala Auto Care"/>
    <x v="4"/>
    <x v="4"/>
    <s v="4227298056"/>
    <d v="2024-09-27T00:00:00"/>
    <n v="9"/>
    <x v="1"/>
    <n v="99545"/>
    <n v="99545"/>
    <n v="53"/>
    <x v="3"/>
    <s v="0714566264"/>
  </r>
  <r>
    <s v="190014102"/>
    <s v="Dawala Auto Care"/>
    <x v="4"/>
    <x v="4"/>
    <s v="4227304466"/>
    <d v="2024-10-31T00:00:00"/>
    <n v="10"/>
    <x v="1"/>
    <n v="20060"/>
    <n v="20060"/>
    <n v="19"/>
    <x v="3"/>
    <s v="0714566264"/>
  </r>
  <r>
    <s v="190014102"/>
    <s v="Dawala Auto Care"/>
    <x v="4"/>
    <x v="4"/>
    <s v="4227304467"/>
    <d v="2024-10-31T00:00:00"/>
    <n v="10"/>
    <x v="1"/>
    <n v="55054"/>
    <n v="55054"/>
    <n v="19"/>
    <x v="3"/>
    <s v="0714566264"/>
  </r>
  <r>
    <s v="190014102"/>
    <s v="Dawala Auto Care"/>
    <x v="4"/>
    <x v="4"/>
    <s v="4227304468"/>
    <d v="2024-10-31T00:00:00"/>
    <n v="10"/>
    <x v="1"/>
    <n v="51920"/>
    <n v="51920"/>
    <n v="19"/>
    <x v="3"/>
    <s v="0714566264"/>
  </r>
  <r>
    <s v="190014102"/>
    <s v="Dawala Auto Care"/>
    <x v="4"/>
    <x v="4"/>
    <s v="4227304469"/>
    <d v="2024-10-31T00:00:00"/>
    <n v="10"/>
    <x v="1"/>
    <n v="31223"/>
    <n v="31223"/>
    <n v="19"/>
    <x v="3"/>
    <s v="0714566264"/>
  </r>
  <r>
    <s v="190014332"/>
    <s v="Susantha Motor Traders"/>
    <x v="4"/>
    <x v="4"/>
    <s v="4227272628"/>
    <d v="2024-02-28T00:00:00"/>
    <n v="2"/>
    <x v="1"/>
    <n v="25233"/>
    <n v="4460"/>
    <n v="265"/>
    <x v="1418"/>
    <s v="0775755985"/>
  </r>
  <r>
    <s v="190014332"/>
    <s v="Susantha Motor Traders"/>
    <x v="4"/>
    <x v="4"/>
    <s v="4227290807"/>
    <d v="2024-08-01T00:00:00"/>
    <n v="8"/>
    <x v="1"/>
    <n v="33485"/>
    <n v="33485"/>
    <n v="110"/>
    <x v="1419"/>
    <s v="0775755985"/>
  </r>
  <r>
    <s v="190014332"/>
    <s v="Susantha Motor Traders"/>
    <x v="4"/>
    <x v="4"/>
    <s v="4227292037"/>
    <d v="2024-08-14T00:00:00"/>
    <n v="8"/>
    <x v="1"/>
    <n v="2974"/>
    <n v="2974"/>
    <n v="97"/>
    <x v="1420"/>
    <s v="0775755985"/>
  </r>
  <r>
    <s v="190014332"/>
    <s v="Susantha Motor Traders"/>
    <x v="4"/>
    <x v="4"/>
    <s v="5227015552"/>
    <d v="2024-09-06T00:00:00"/>
    <n v="9"/>
    <x v="1"/>
    <n v="-4460"/>
    <n v="-4460"/>
    <n v="74"/>
    <x v="3"/>
    <s v="0775755985"/>
  </r>
  <r>
    <s v="190014333"/>
    <s v="Sri Lanka Motors"/>
    <x v="4"/>
    <x v="4"/>
    <s v="4227290725"/>
    <d v="2024-07-31T00:00:00"/>
    <n v="7"/>
    <x v="1"/>
    <n v="11328"/>
    <n v="11328"/>
    <n v="111"/>
    <x v="449"/>
    <s v="0772391782"/>
  </r>
  <r>
    <s v="190014333"/>
    <s v="Sri Lanka Motors"/>
    <x v="4"/>
    <x v="4"/>
    <s v="4227290726"/>
    <d v="2024-07-31T00:00:00"/>
    <n v="7"/>
    <x v="1"/>
    <n v="24886"/>
    <n v="24886"/>
    <n v="111"/>
    <x v="954"/>
    <s v="0772391782"/>
  </r>
  <r>
    <s v="190014333"/>
    <s v="Sri Lanka Motors"/>
    <x v="4"/>
    <x v="4"/>
    <s v="4227290727"/>
    <d v="2024-07-31T00:00:00"/>
    <n v="7"/>
    <x v="1"/>
    <n v="24886"/>
    <n v="24886"/>
    <n v="111"/>
    <x v="954"/>
    <s v="0772391782"/>
  </r>
  <r>
    <s v="190014345"/>
    <s v="Swap Car Care"/>
    <x v="4"/>
    <x v="4"/>
    <s v="4227281929"/>
    <d v="2024-05-29T00:00:00"/>
    <n v="5"/>
    <x v="1"/>
    <n v="124608"/>
    <n v="62304"/>
    <n v="174"/>
    <x v="1421"/>
    <s v="0777460241"/>
  </r>
  <r>
    <s v="190014347"/>
    <s v="Wishwa Motors"/>
    <x v="4"/>
    <x v="4"/>
    <s v="4227290597"/>
    <d v="2024-07-31T00:00:00"/>
    <n v="7"/>
    <x v="1"/>
    <n v="28320"/>
    <n v="28320"/>
    <n v="111"/>
    <x v="353"/>
    <s v="0777250257"/>
  </r>
  <r>
    <s v="190014388"/>
    <s v="H. H. Trading"/>
    <x v="4"/>
    <x v="4"/>
    <s v="4227276162"/>
    <d v="2024-03-27T00:00:00"/>
    <n v="3"/>
    <x v="1"/>
    <n v="9676"/>
    <n v="9676"/>
    <n v="237"/>
    <x v="1422"/>
    <s v="0716234264"/>
  </r>
  <r>
    <s v="190014388"/>
    <s v="H. H. Trading"/>
    <x v="4"/>
    <x v="4"/>
    <s v="4227276589"/>
    <d v="2024-03-28T00:00:00"/>
    <n v="3"/>
    <x v="1"/>
    <n v="6608"/>
    <n v="6608"/>
    <n v="236"/>
    <x v="684"/>
    <s v="0716234264"/>
  </r>
  <r>
    <s v="190014388"/>
    <s v="H. H. Trading"/>
    <x v="4"/>
    <x v="4"/>
    <s v="4227279714"/>
    <d v="2024-05-08T00:00:00"/>
    <n v="5"/>
    <x v="1"/>
    <n v="1479"/>
    <n v="1479"/>
    <n v="195"/>
    <x v="1423"/>
    <s v="0716234264"/>
  </r>
  <r>
    <s v="190014412"/>
    <s v="S. N Auto Mart"/>
    <x v="4"/>
    <x v="4"/>
    <s v="4227293374"/>
    <d v="2024-08-26T00:00:00"/>
    <n v="8"/>
    <x v="1"/>
    <n v="49998"/>
    <n v="2726"/>
    <n v="85"/>
    <x v="3"/>
    <s v="076797221"/>
  </r>
  <r>
    <s v="190014412"/>
    <s v="S. N Auto Mart"/>
    <x v="4"/>
    <x v="4"/>
    <s v="4227298558"/>
    <d v="2024-09-30T00:00:00"/>
    <n v="9"/>
    <x v="1"/>
    <n v="10863"/>
    <n v="9062"/>
    <n v="50"/>
    <x v="3"/>
    <s v="076797221"/>
  </r>
  <r>
    <s v="190014412"/>
    <s v="S. N Auto Mart"/>
    <x v="4"/>
    <x v="4"/>
    <s v="4227302554"/>
    <d v="2024-10-28T00:00:00"/>
    <n v="10"/>
    <x v="1"/>
    <n v="5782"/>
    <n v="5782"/>
    <n v="22"/>
    <x v="3"/>
    <s v="076797221"/>
  </r>
  <r>
    <s v="190014477"/>
    <s v="Hydromobile Engineering"/>
    <x v="4"/>
    <x v="4"/>
    <s v=""/>
    <d v="2024-06-28T00:00:00"/>
    <n v="6"/>
    <x v="1"/>
    <n v="5263.29"/>
    <n v="5263.29"/>
    <n v="144"/>
    <x v="1424"/>
    <s v="0712586065"/>
  </r>
  <r>
    <s v="190014477"/>
    <s v="Hydromobile Engineering"/>
    <x v="4"/>
    <x v="4"/>
    <s v="4227276010"/>
    <d v="2024-03-27T00:00:00"/>
    <n v="3"/>
    <x v="1"/>
    <n v="372820"/>
    <n v="-10585"/>
    <n v="237"/>
    <x v="1425"/>
    <s v="0712586065"/>
  </r>
  <r>
    <s v="190014477"/>
    <s v="Hydromobile Engineering"/>
    <x v="4"/>
    <x v="4"/>
    <s v="4227276685"/>
    <d v="2024-03-28T00:00:00"/>
    <n v="3"/>
    <x v="1"/>
    <n v="67175"/>
    <n v="30383"/>
    <n v="236"/>
    <x v="1426"/>
    <s v="0712586065"/>
  </r>
  <r>
    <s v="190014477"/>
    <s v="Hydromobile Engineering"/>
    <x v="4"/>
    <x v="4"/>
    <s v="4227278601"/>
    <d v="2024-04-30T00:00:00"/>
    <n v="4"/>
    <x v="1"/>
    <n v="38338"/>
    <n v="38338"/>
    <n v="203"/>
    <x v="1427"/>
    <s v="0712586065"/>
  </r>
  <r>
    <s v="190014477"/>
    <s v="Hydromobile Engineering"/>
    <x v="4"/>
    <x v="4"/>
    <s v="4227279713"/>
    <d v="2024-05-08T00:00:00"/>
    <n v="5"/>
    <x v="1"/>
    <n v="13423"/>
    <n v="13423"/>
    <n v="195"/>
    <x v="1428"/>
    <s v="0712586065"/>
  </r>
  <r>
    <s v="190014477"/>
    <s v="Hydromobile Engineering"/>
    <x v="4"/>
    <x v="4"/>
    <s v="4227286017"/>
    <d v="2024-06-30T00:00:00"/>
    <n v="6"/>
    <x v="1"/>
    <n v="76464"/>
    <n v="25644"/>
    <n v="142"/>
    <x v="1429"/>
    <s v="0712586065"/>
  </r>
  <r>
    <s v="190014477"/>
    <s v="Hydromobile Engineering"/>
    <x v="4"/>
    <x v="4"/>
    <s v="4227298777"/>
    <d v="2024-09-30T00:00:00"/>
    <n v="9"/>
    <x v="1"/>
    <n v="56640"/>
    <n v="56640"/>
    <n v="50"/>
    <x v="3"/>
    <s v="0712586065"/>
  </r>
  <r>
    <s v="190014477"/>
    <s v="Hydromobile Engineering"/>
    <x v="4"/>
    <x v="4"/>
    <s v="4227298778"/>
    <d v="2024-09-30T00:00:00"/>
    <n v="9"/>
    <x v="1"/>
    <n v="53397"/>
    <n v="53397"/>
    <n v="50"/>
    <x v="3"/>
    <s v="0712586065"/>
  </r>
  <r>
    <s v="190014477"/>
    <s v="Hydromobile Engineering"/>
    <x v="4"/>
    <x v="4"/>
    <s v="4227298810"/>
    <d v="2024-09-30T00:00:00"/>
    <n v="9"/>
    <x v="1"/>
    <n v="199090"/>
    <n v="199090"/>
    <n v="50"/>
    <x v="3"/>
    <s v="0712586065"/>
  </r>
  <r>
    <s v="190014477"/>
    <s v="Hydromobile Engineering"/>
    <x v="4"/>
    <x v="4"/>
    <s v="4227298811"/>
    <d v="2024-09-30T00:00:00"/>
    <n v="9"/>
    <x v="1"/>
    <n v="86276"/>
    <n v="86276"/>
    <n v="50"/>
    <x v="3"/>
    <s v="0712586065"/>
  </r>
  <r>
    <s v="190014538"/>
    <s v="Universal Auto Mart (Pvt) Ltd."/>
    <x v="4"/>
    <x v="4"/>
    <s v="4227276592"/>
    <d v="2024-03-28T00:00:00"/>
    <n v="3"/>
    <x v="1"/>
    <n v="38326"/>
    <n v="25700"/>
    <n v="236"/>
    <x v="1430"/>
    <s v="0773588406"/>
  </r>
  <r>
    <s v="190014631"/>
    <s v="Sinuri Auto Park"/>
    <x v="4"/>
    <x v="4"/>
    <s v="4227303347"/>
    <d v="2024-10-30T00:00:00"/>
    <n v="10"/>
    <x v="1"/>
    <n v="18408"/>
    <n v="18408"/>
    <n v="20"/>
    <x v="3"/>
    <s v="0777303177"/>
  </r>
  <r>
    <s v="190014701"/>
    <s v="New Yuhansa Motors"/>
    <x v="4"/>
    <x v="4"/>
    <s v="236815"/>
    <d v="2024-09-30T00:00:00"/>
    <n v="9"/>
    <x v="1"/>
    <n v="-3732"/>
    <n v="-3732"/>
    <n v="50"/>
    <x v="3"/>
    <s v="0716900873"/>
  </r>
  <r>
    <s v="190014701"/>
    <s v="New Yuhansa Motors"/>
    <x v="4"/>
    <x v="4"/>
    <s v="4227282102"/>
    <d v="2024-05-30T00:00:00"/>
    <n v="5"/>
    <x v="1"/>
    <n v="72431"/>
    <n v="24431"/>
    <n v="173"/>
    <x v="1431"/>
    <s v="0716900873"/>
  </r>
  <r>
    <s v="190014701"/>
    <s v="New Yuhansa Motors"/>
    <x v="4"/>
    <x v="4"/>
    <s v="4227290247"/>
    <d v="2024-07-31T00:00:00"/>
    <n v="7"/>
    <x v="1"/>
    <n v="1593"/>
    <n v="1593"/>
    <n v="111"/>
    <x v="1432"/>
    <s v="0716900873"/>
  </r>
  <r>
    <s v="190014703"/>
    <s v="Ganemulla Motors"/>
    <x v="4"/>
    <x v="4"/>
    <s v="4227297739"/>
    <d v="2024-09-26T00:00:00"/>
    <n v="9"/>
    <x v="1"/>
    <n v="16822"/>
    <n v="16822"/>
    <n v="54"/>
    <x v="3"/>
    <s v="0779868272"/>
  </r>
  <r>
    <s v="190014703"/>
    <s v="Ganemulla Motors"/>
    <x v="4"/>
    <x v="4"/>
    <s v="4227297903"/>
    <d v="2024-09-26T00:00:00"/>
    <n v="9"/>
    <x v="1"/>
    <n v="8411"/>
    <n v="8411"/>
    <n v="54"/>
    <x v="3"/>
    <s v="0779868272"/>
  </r>
  <r>
    <s v="190014703"/>
    <s v="Ganemulla Motors"/>
    <x v="4"/>
    <x v="4"/>
    <s v="4227304484"/>
    <d v="2024-10-31T00:00:00"/>
    <n v="10"/>
    <x v="1"/>
    <n v="16284"/>
    <n v="16284"/>
    <n v="19"/>
    <x v="3"/>
    <s v="0779868272"/>
  </r>
  <r>
    <s v="190014703"/>
    <s v="Ganemulla Motors"/>
    <x v="4"/>
    <x v="4"/>
    <s v="4227304485"/>
    <d v="2024-10-31T00:00:00"/>
    <n v="10"/>
    <x v="1"/>
    <n v="28320"/>
    <n v="28320"/>
    <n v="19"/>
    <x v="3"/>
    <s v="0779868272"/>
  </r>
  <r>
    <s v="190014703"/>
    <s v="Ganemulla Motors"/>
    <x v="4"/>
    <x v="4"/>
    <s v="4227304486"/>
    <d v="2024-10-31T00:00:00"/>
    <n v="10"/>
    <x v="1"/>
    <n v="21134"/>
    <n v="21134"/>
    <n v="19"/>
    <x v="3"/>
    <s v="0779868272"/>
  </r>
  <r>
    <s v="190014704"/>
    <s v="Turbo House"/>
    <x v="4"/>
    <x v="4"/>
    <s v="4227282105"/>
    <d v="2024-05-30T00:00:00"/>
    <n v="5"/>
    <x v="1"/>
    <n v="27931"/>
    <n v="12931"/>
    <n v="173"/>
    <x v="1433"/>
    <s v="0712570878"/>
  </r>
  <r>
    <s v="190014718"/>
    <s v="Oath Auto Engineering"/>
    <x v="4"/>
    <x v="4"/>
    <s v="231281"/>
    <d v="2024-08-23T00:00:00"/>
    <n v="8"/>
    <x v="1"/>
    <n v="-1500"/>
    <n v="-1500"/>
    <n v="88"/>
    <x v="3"/>
    <s v="0758236701"/>
  </r>
  <r>
    <s v="190014718"/>
    <s v="Oath Auto Engineering"/>
    <x v="4"/>
    <x v="4"/>
    <s v="4227282606"/>
    <d v="2024-05-31T00:00:00"/>
    <n v="5"/>
    <x v="1"/>
    <n v="11818"/>
    <n v="11818"/>
    <n v="172"/>
    <x v="1434"/>
    <s v="0758236701"/>
  </r>
  <r>
    <s v="190014773"/>
    <s v="M. N. Car Wash"/>
    <x v="4"/>
    <x v="4"/>
    <s v="4227285968"/>
    <d v="2024-06-29T00:00:00"/>
    <n v="6"/>
    <x v="1"/>
    <n v="282610"/>
    <n v="174994"/>
    <n v="143"/>
    <x v="1435"/>
    <s v="0754435319"/>
  </r>
  <r>
    <s v="190014813"/>
    <s v="Star Auto Park"/>
    <x v="4"/>
    <x v="4"/>
    <s v="4227285183"/>
    <d v="2024-06-28T00:00:00"/>
    <n v="6"/>
    <x v="1"/>
    <n v="38262"/>
    <n v="1148"/>
    <n v="144"/>
    <x v="1436"/>
    <s v="0705080822"/>
  </r>
  <r>
    <s v="190014813"/>
    <s v="Star Auto Park"/>
    <x v="4"/>
    <x v="4"/>
    <s v="4227293152"/>
    <d v="2024-08-23T00:00:00"/>
    <n v="8"/>
    <x v="1"/>
    <n v="32285"/>
    <n v="32285"/>
    <n v="88"/>
    <x v="3"/>
    <s v="0705080822"/>
  </r>
  <r>
    <s v="190014813"/>
    <s v="Star Auto Park"/>
    <x v="4"/>
    <x v="4"/>
    <s v="4227294675"/>
    <d v="2024-08-30T00:00:00"/>
    <n v="8"/>
    <x v="1"/>
    <n v="11493"/>
    <n v="11493"/>
    <n v="81"/>
    <x v="3"/>
    <s v="0705080822"/>
  </r>
  <r>
    <s v="190014814"/>
    <s v="Creative Auto Care"/>
    <x v="4"/>
    <x v="4"/>
    <s v="236840"/>
    <d v="2024-10-18T00:00:00"/>
    <n v="10"/>
    <x v="1"/>
    <n v="-24886"/>
    <n v="-24886"/>
    <n v="32"/>
    <x v="3"/>
    <s v="0779406799"/>
  </r>
  <r>
    <s v="190014814"/>
    <s v="Creative Auto Care"/>
    <x v="4"/>
    <x v="4"/>
    <s v="4227285112"/>
    <d v="2024-06-27T00:00:00"/>
    <n v="6"/>
    <x v="1"/>
    <n v="24886"/>
    <n v="24886"/>
    <n v="145"/>
    <x v="954"/>
    <s v="0779406799"/>
  </r>
  <r>
    <s v="190014814"/>
    <s v="Creative Auto Care"/>
    <x v="4"/>
    <x v="4"/>
    <s v="4227305788"/>
    <d v="2024-11-13T00:00:00"/>
    <n v="11"/>
    <x v="1"/>
    <n v="119935"/>
    <n v="119935"/>
    <n v="6"/>
    <x v="3"/>
    <s v="0779406799"/>
  </r>
  <r>
    <s v="190014850"/>
    <s v="Nissanka Auto Hub (Pvt) Ltd"/>
    <x v="4"/>
    <x v="4"/>
    <s v="4227287761"/>
    <d v="2024-07-17T00:00:00"/>
    <n v="7"/>
    <x v="1"/>
    <n v="106815"/>
    <n v="11815"/>
    <n v="125"/>
    <x v="1437"/>
    <s v="0760226695"/>
  </r>
  <r>
    <s v="190014940"/>
    <s v="Wijesiri Enterprises"/>
    <x v="4"/>
    <x v="4"/>
    <s v="4227297953"/>
    <d v="2024-09-27T00:00:00"/>
    <n v="9"/>
    <x v="1"/>
    <n v="6797"/>
    <n v="0"/>
    <n v="53"/>
    <x v="3"/>
    <s v="0776601604"/>
  </r>
  <r>
    <s v="190015029"/>
    <s v="Laksara Auto Parts &amp; Oil Mart"/>
    <x v="4"/>
    <x v="4"/>
    <s v="4227292875"/>
    <d v="2024-08-21T00:00:00"/>
    <n v="8"/>
    <x v="1"/>
    <n v="8567"/>
    <n v="8567"/>
    <n v="90"/>
    <x v="1438"/>
    <s v="0774001939"/>
  </r>
  <r>
    <s v="190015030"/>
    <s v="Rathnakumara Tyres &amp; Motors"/>
    <x v="4"/>
    <x v="4"/>
    <s v="4227300561"/>
    <d v="2024-10-14T00:00:00"/>
    <n v="10"/>
    <x v="1"/>
    <n v="6490"/>
    <n v="6490"/>
    <n v="36"/>
    <x v="3"/>
    <s v="0772277242"/>
  </r>
  <r>
    <s v="190015031"/>
    <s v="The Agri Auto Parts"/>
    <x v="4"/>
    <x v="4"/>
    <s v="4227292867"/>
    <d v="2024-08-21T00:00:00"/>
    <n v="8"/>
    <x v="1"/>
    <n v="37655"/>
    <n v="37655"/>
    <n v="90"/>
    <x v="1439"/>
    <s v="0717939650"/>
  </r>
  <r>
    <s v="190015051"/>
    <s v="Prabath Motors"/>
    <x v="4"/>
    <x v="4"/>
    <s v="4227293280"/>
    <d v="2024-08-24T00:00:00"/>
    <n v="8"/>
    <x v="1"/>
    <n v="22302"/>
    <n v="22302"/>
    <n v="87"/>
    <x v="3"/>
    <s v="0716846544"/>
  </r>
  <r>
    <s v="190015099"/>
    <s v="Kevin Motors"/>
    <x v="4"/>
    <x v="4"/>
    <s v="4227294063"/>
    <d v="2024-08-28T00:00:00"/>
    <n v="8"/>
    <x v="1"/>
    <n v="28320"/>
    <n v="13320"/>
    <n v="83"/>
    <x v="3"/>
    <s v="0768059164"/>
  </r>
  <r>
    <s v="190015100"/>
    <s v="Modern Automobile"/>
    <x v="4"/>
    <x v="4"/>
    <s v="4227294160"/>
    <d v="2024-08-29T00:00:00"/>
    <n v="8"/>
    <x v="1"/>
    <n v="83047"/>
    <n v="64414"/>
    <n v="82"/>
    <x v="3"/>
    <s v="0776484106"/>
  </r>
  <r>
    <s v="190015100"/>
    <s v="Modern Automobile"/>
    <x v="4"/>
    <x v="4"/>
    <s v="4227299260"/>
    <d v="2024-10-03T00:00:00"/>
    <n v="10"/>
    <x v="1"/>
    <n v="27527"/>
    <n v="27527"/>
    <n v="47"/>
    <x v="3"/>
    <s v="0776484106"/>
  </r>
  <r>
    <s v="190015100"/>
    <s v="Modern Automobile"/>
    <x v="4"/>
    <x v="4"/>
    <s v="4227300213"/>
    <d v="2024-10-11T00:00:00"/>
    <n v="10"/>
    <x v="1"/>
    <n v="1770"/>
    <n v="1770"/>
    <n v="39"/>
    <x v="3"/>
    <s v="0776484106"/>
  </r>
  <r>
    <s v="190015100"/>
    <s v="Modern Automobile"/>
    <x v="4"/>
    <x v="4"/>
    <s v="4227304365"/>
    <d v="2024-10-31T00:00:00"/>
    <n v="10"/>
    <x v="1"/>
    <n v="16048"/>
    <n v="16048"/>
    <n v="19"/>
    <x v="3"/>
    <s v="0776484106"/>
  </r>
  <r>
    <s v="190015233"/>
    <s v="S. M. Motor Traders"/>
    <x v="4"/>
    <x v="4"/>
    <s v="4227300559"/>
    <d v="2024-10-14T00:00:00"/>
    <n v="10"/>
    <x v="1"/>
    <n v="9006"/>
    <n v="9006"/>
    <n v="36"/>
    <x v="3"/>
    <s v="0777416860"/>
  </r>
  <r>
    <s v="190015484"/>
    <s v="G. A. T. Motor Mart"/>
    <x v="4"/>
    <x v="4"/>
    <s v="4227300357"/>
    <d v="2024-10-11T00:00:00"/>
    <n v="10"/>
    <x v="1"/>
    <n v="9695"/>
    <n v="9695"/>
    <n v="39"/>
    <x v="3"/>
    <s v="0758560913"/>
  </r>
  <r>
    <s v="190015485"/>
    <s v="Sakura Multi Traders"/>
    <x v="4"/>
    <x v="4"/>
    <s v="4227299910"/>
    <d v="2024-10-09T00:00:00"/>
    <n v="10"/>
    <x v="1"/>
    <n v="28013"/>
    <n v="28013"/>
    <n v="41"/>
    <x v="3"/>
    <s v="0713416568"/>
  </r>
  <r>
    <s v="190015486"/>
    <s v="S. B. F. Aircon Engineering"/>
    <x v="4"/>
    <x v="4"/>
    <s v="4227299914"/>
    <d v="2024-10-09T00:00:00"/>
    <n v="10"/>
    <x v="1"/>
    <n v="31860"/>
    <n v="0"/>
    <n v="41"/>
    <x v="3"/>
    <s v="0777433146"/>
  </r>
  <r>
    <s v="190015502"/>
    <s v="Speed Car Repair And Service Center"/>
    <x v="4"/>
    <x v="4"/>
    <s v="4227301386"/>
    <d v="2024-10-21T00:00:00"/>
    <n v="10"/>
    <x v="1"/>
    <n v="6744"/>
    <n v="6744"/>
    <n v="29"/>
    <x v="3"/>
    <s v="0714758758"/>
  </r>
  <r>
    <s v="190015580"/>
    <s v="Jayakodi Enterprises"/>
    <x v="4"/>
    <x v="4"/>
    <s v="4227300643"/>
    <d v="2024-10-14T00:00:00"/>
    <n v="10"/>
    <x v="1"/>
    <n v="5192"/>
    <n v="5192"/>
    <n v="36"/>
    <x v="3"/>
    <s v="0776542608"/>
  </r>
  <r>
    <s v="190015720"/>
    <s v="S. P. Auto A/c"/>
    <x v="4"/>
    <x v="4"/>
    <s v="4227302471"/>
    <d v="2024-10-26T00:00:00"/>
    <n v="10"/>
    <x v="1"/>
    <n v="31860"/>
    <n v="31860"/>
    <n v="24"/>
    <x v="3"/>
    <s v="0774144107"/>
  </r>
  <r>
    <s v="190015722"/>
    <s v="Yakkala Oil Mart"/>
    <x v="4"/>
    <x v="4"/>
    <s v="4227302146"/>
    <d v="2024-10-24T00:00:00"/>
    <n v="10"/>
    <x v="1"/>
    <n v="8609"/>
    <n v="8609"/>
    <n v="26"/>
    <x v="3"/>
    <s v="0712437581"/>
  </r>
  <r>
    <s v="190015799"/>
    <s v="Madara Enterprises"/>
    <x v="4"/>
    <x v="4"/>
    <s v="4227303200"/>
    <d v="2024-10-30T00:00:00"/>
    <n v="10"/>
    <x v="1"/>
    <n v="13063"/>
    <n v="13063"/>
    <n v="20"/>
    <x v="3"/>
    <s v="0705705777"/>
  </r>
  <r>
    <s v="190015855"/>
    <s v="Auto Prob Solution"/>
    <x v="4"/>
    <x v="4"/>
    <s v="4227303961"/>
    <d v="2024-10-31T00:00:00"/>
    <n v="10"/>
    <x v="1"/>
    <n v="44118"/>
    <n v="44118"/>
    <n v="19"/>
    <x v="3"/>
    <s v="0712826451"/>
  </r>
  <r>
    <s v="190015860"/>
    <s v="Senadeera Motors &amp; Oil Mart"/>
    <x v="4"/>
    <x v="4"/>
    <s v="4227303883"/>
    <d v="2024-10-31T00:00:00"/>
    <n v="10"/>
    <x v="1"/>
    <n v="27815"/>
    <n v="27815"/>
    <n v="19"/>
    <x v="3"/>
    <s v="0788839448"/>
  </r>
  <r>
    <s v="190015873"/>
    <s v="Anagi Properties Sales"/>
    <x v="4"/>
    <x v="4"/>
    <s v="4227304050"/>
    <d v="2024-10-31T00:00:00"/>
    <n v="10"/>
    <x v="1"/>
    <n v="35211"/>
    <n v="35211"/>
    <n v="19"/>
    <x v="3"/>
    <s v="0711989999"/>
  </r>
  <r>
    <s v="190015883"/>
    <s v="Shiene Plus Car Point"/>
    <x v="4"/>
    <x v="4"/>
    <s v="4227304052"/>
    <d v="2024-10-31T00:00:00"/>
    <n v="10"/>
    <x v="1"/>
    <n v="15391"/>
    <n v="15391"/>
    <n v="19"/>
    <x v="3"/>
    <s v="0113690069"/>
  </r>
  <r>
    <s v="190015884"/>
    <s v="Dalugoda And Sons Motor Works"/>
    <x v="4"/>
    <x v="4"/>
    <s v="4227304053"/>
    <d v="2024-10-31T00:00:00"/>
    <n v="10"/>
    <x v="1"/>
    <n v="31421"/>
    <n v="31421"/>
    <n v="19"/>
    <x v="3"/>
    <s v="0782792536"/>
  </r>
  <r>
    <s v="190015891"/>
    <s v="Grand Auto Service"/>
    <x v="4"/>
    <x v="4"/>
    <s v="4227304079"/>
    <d v="2024-10-31T00:00:00"/>
    <n v="10"/>
    <x v="1"/>
    <n v="7788"/>
    <n v="7788"/>
    <n v="19"/>
    <x v="3"/>
    <s v="0775270241"/>
  </r>
  <r>
    <s v="190000385"/>
    <s v="Hybrid Auto Tec"/>
    <x v="4"/>
    <x v="4"/>
    <s v="4227217832"/>
    <d v="2022-08-22T00:00:00"/>
    <n v="8"/>
    <x v="6"/>
    <n v="14045"/>
    <n v="14045"/>
    <n v="820"/>
    <x v="1109"/>
    <s v="777988220"/>
  </r>
  <r>
    <s v="190000585"/>
    <s v="Nawarathna Engineers"/>
    <x v="4"/>
    <x v="4"/>
    <s v="4227286256"/>
    <d v="2024-07-03T00:00:00"/>
    <n v="7"/>
    <x v="1"/>
    <n v="19588"/>
    <n v="19588"/>
    <n v="139"/>
    <x v="1110"/>
    <s v="775608734"/>
  </r>
  <r>
    <s v="190000585"/>
    <s v="Nawarathna Engineers"/>
    <x v="4"/>
    <x v="4"/>
    <s v="4227294209"/>
    <d v="2024-08-29T00:00:00"/>
    <n v="8"/>
    <x v="1"/>
    <n v="10030"/>
    <n v="10030"/>
    <n v="82"/>
    <x v="3"/>
    <s v="775608734"/>
  </r>
  <r>
    <s v="190000586"/>
    <s v="Sarath Radiator Works"/>
    <x v="4"/>
    <x v="4"/>
    <s v="4227295750"/>
    <d v="2024-09-07T00:00:00"/>
    <n v="9"/>
    <x v="1"/>
    <n v="13594"/>
    <n v="13594"/>
    <n v="73"/>
    <x v="3"/>
    <s v="777134863"/>
  </r>
  <r>
    <s v="190000586"/>
    <s v="Sarath Radiator Works"/>
    <x v="4"/>
    <x v="4"/>
    <s v="4227295965"/>
    <d v="2024-09-10T00:00:00"/>
    <n v="9"/>
    <x v="1"/>
    <n v="13594"/>
    <n v="13594"/>
    <n v="70"/>
    <x v="3"/>
    <s v="777134863"/>
  </r>
  <r>
    <s v="190000586"/>
    <s v="Sarath Radiator Works"/>
    <x v="4"/>
    <x v="4"/>
    <s v="4227297715"/>
    <d v="2024-09-26T00:00:00"/>
    <n v="9"/>
    <x v="1"/>
    <n v="6797"/>
    <n v="6797"/>
    <n v="54"/>
    <x v="3"/>
    <s v="777134863"/>
  </r>
  <r>
    <s v="190000587"/>
    <s v="Mahinda Motors"/>
    <x v="4"/>
    <x v="4"/>
    <s v="4227252237"/>
    <d v="2023-08-29T00:00:00"/>
    <n v="8"/>
    <x v="0"/>
    <n v="34500"/>
    <n v="19500"/>
    <n v="448"/>
    <x v="1111"/>
    <s v="722837054"/>
  </r>
  <r>
    <s v="190001216"/>
    <s v="Ranathunga (Auto) Traders"/>
    <x v="4"/>
    <x v="4"/>
    <s v="4227225462"/>
    <d v="2022-11-15T00:00:00"/>
    <n v="11"/>
    <x v="6"/>
    <n v="34500"/>
    <n v="621"/>
    <n v="735"/>
    <x v="1112"/>
    <s v="112535060"/>
  </r>
  <r>
    <s v="190001216"/>
    <s v="Ranathunga (Auto) Traders"/>
    <x v="4"/>
    <x v="4"/>
    <s v="4227298528"/>
    <d v="2024-09-30T00:00:00"/>
    <n v="9"/>
    <x v="1"/>
    <n v="47861"/>
    <n v="47861"/>
    <n v="50"/>
    <x v="3"/>
    <s v="112535060"/>
  </r>
  <r>
    <s v="190001216"/>
    <s v="Ranathunga (Auto) Traders"/>
    <x v="4"/>
    <x v="4"/>
    <s v="4227303083"/>
    <d v="2024-10-30T00:00:00"/>
    <n v="10"/>
    <x v="1"/>
    <n v="24886"/>
    <n v="24886"/>
    <n v="20"/>
    <x v="3"/>
    <s v="112535060"/>
  </r>
  <r>
    <s v="190001216"/>
    <s v="Ranathunga (Auto) Traders"/>
    <x v="4"/>
    <x v="4"/>
    <s v="4227303084"/>
    <d v="2024-10-30T00:00:00"/>
    <n v="10"/>
    <x v="1"/>
    <n v="32568"/>
    <n v="32568"/>
    <n v="20"/>
    <x v="3"/>
    <s v="112535060"/>
  </r>
  <r>
    <s v="190001216"/>
    <s v="Ranathunga (Auto) Traders"/>
    <x v="4"/>
    <x v="4"/>
    <s v="4227305031"/>
    <d v="2024-11-07T00:00:00"/>
    <n v="11"/>
    <x v="1"/>
    <n v="27527"/>
    <n v="27527"/>
    <n v="12"/>
    <x v="3"/>
    <s v="112535060"/>
  </r>
  <r>
    <s v="190001222"/>
    <s v="Sesatha Service Center"/>
    <x v="4"/>
    <x v="4"/>
    <s v="4227297205"/>
    <d v="2024-09-20T00:00:00"/>
    <n v="9"/>
    <x v="1"/>
    <n v="66363"/>
    <n v="66363"/>
    <n v="60"/>
    <x v="3"/>
    <s v="714852385"/>
  </r>
  <r>
    <s v="190001222"/>
    <s v="Sesatha Service Center"/>
    <x v="4"/>
    <x v="4"/>
    <s v="4227297954"/>
    <d v="2024-09-27T00:00:00"/>
    <n v="9"/>
    <x v="1"/>
    <n v="33182"/>
    <n v="33182"/>
    <n v="53"/>
    <x v="3"/>
    <s v="714852385"/>
  </r>
  <r>
    <s v="190001222"/>
    <s v="Sesatha Service Center"/>
    <x v="4"/>
    <x v="4"/>
    <s v="4227298034"/>
    <d v="2024-09-27T00:00:00"/>
    <n v="9"/>
    <x v="1"/>
    <n v="14666"/>
    <n v="14666"/>
    <n v="53"/>
    <x v="3"/>
    <s v="714852385"/>
  </r>
  <r>
    <s v="190001222"/>
    <s v="Sesatha Service Center"/>
    <x v="4"/>
    <x v="4"/>
    <s v="4227301507"/>
    <d v="2024-10-21T00:00:00"/>
    <n v="10"/>
    <x v="1"/>
    <n v="8850"/>
    <n v="8850"/>
    <n v="29"/>
    <x v="3"/>
    <s v="714852385"/>
  </r>
  <r>
    <s v="190001222"/>
    <s v="Sesatha Service Center"/>
    <x v="4"/>
    <x v="4"/>
    <s v="4227301649"/>
    <d v="2024-10-22T00:00:00"/>
    <n v="10"/>
    <x v="1"/>
    <n v="28320"/>
    <n v="28320"/>
    <n v="28"/>
    <x v="3"/>
    <s v="714852385"/>
  </r>
  <r>
    <s v="190001225"/>
    <s v="Delgoda Battery &amp; Tyre Works"/>
    <x v="4"/>
    <x v="4"/>
    <s v="4227272279"/>
    <d v="2024-02-26T00:00:00"/>
    <n v="2"/>
    <x v="1"/>
    <n v="5900"/>
    <n v="5900"/>
    <n v="267"/>
    <x v="988"/>
    <s v="773723354"/>
  </r>
  <r>
    <s v="190001226"/>
    <s v="Premachandra Garage"/>
    <x v="4"/>
    <x v="4"/>
    <s v="4227257152"/>
    <d v="2023-10-07T00:00:00"/>
    <n v="10"/>
    <x v="0"/>
    <n v="67620"/>
    <n v="67620"/>
    <n v="409"/>
    <x v="121"/>
    <s v="602198322"/>
  </r>
  <r>
    <s v="190001226"/>
    <s v="Premachandra Garage"/>
    <x v="4"/>
    <x v="4"/>
    <s v="4227257324"/>
    <d v="2023-10-07T00:00:00"/>
    <n v="10"/>
    <x v="0"/>
    <n v="76521"/>
    <n v="1569"/>
    <n v="409"/>
    <x v="1113"/>
    <s v="602198322"/>
  </r>
  <r>
    <s v="190001271"/>
    <s v="Sampath Body Work"/>
    <x v="4"/>
    <x v="4"/>
    <s v="4227128966"/>
    <d v="2020-01-07T00:00:00"/>
    <n v="1"/>
    <x v="3"/>
    <n v="1566"/>
    <n v="1566"/>
    <n v="1778"/>
    <x v="1114"/>
    <s v="767664487"/>
  </r>
  <r>
    <s v="190001272"/>
    <s v="Thilakarathna Garage"/>
    <x v="4"/>
    <x v="4"/>
    <s v="4227282643"/>
    <d v="2024-05-31T00:00:00"/>
    <n v="5"/>
    <x v="1"/>
    <n v="39506"/>
    <n v="39506"/>
    <n v="172"/>
    <x v="1115"/>
    <s v="112837264"/>
  </r>
  <r>
    <s v="190001272"/>
    <s v="Thilakarathna Garage"/>
    <x v="4"/>
    <x v="4"/>
    <s v="4227283607"/>
    <d v="2024-06-12T00:00:00"/>
    <n v="6"/>
    <x v="1"/>
    <n v="69384"/>
    <n v="69384"/>
    <n v="160"/>
    <x v="37"/>
    <s v="112837264"/>
  </r>
  <r>
    <s v="190001272"/>
    <s v="Thilakarathna Garage"/>
    <x v="4"/>
    <x v="4"/>
    <s v="4227286627"/>
    <d v="2024-07-08T00:00:00"/>
    <n v="7"/>
    <x v="1"/>
    <n v="36698"/>
    <n v="36698"/>
    <n v="134"/>
    <x v="1116"/>
    <s v="112837264"/>
  </r>
  <r>
    <s v="190001272"/>
    <s v="Thilakarathna Garage"/>
    <x v="4"/>
    <x v="4"/>
    <s v="4227289239"/>
    <d v="2024-07-26T00:00:00"/>
    <n v="7"/>
    <x v="1"/>
    <n v="23128"/>
    <n v="23128"/>
    <n v="116"/>
    <x v="1117"/>
    <s v="112837264"/>
  </r>
  <r>
    <s v="190001273"/>
    <s v="Rathnasiri Motors - Dompe"/>
    <x v="4"/>
    <x v="4"/>
    <s v="4227208366"/>
    <d v="2022-03-29T00:00:00"/>
    <n v="3"/>
    <x v="6"/>
    <n v="28728"/>
    <n v="17748"/>
    <n v="966"/>
    <x v="1118"/>
    <s v="775830848"/>
  </r>
  <r>
    <s v="190001273"/>
    <s v="Rathnasiri Motors - Dompe"/>
    <x v="4"/>
    <x v="4"/>
    <s v="4227273664"/>
    <d v="2024-03-06T00:00:00"/>
    <n v="3"/>
    <x v="1"/>
    <n v="19824"/>
    <n v="17159"/>
    <n v="258"/>
    <x v="1119"/>
    <s v="775830848"/>
  </r>
  <r>
    <s v="190001274"/>
    <s v="Chandana Motors"/>
    <x v="4"/>
    <x v="4"/>
    <s v="4227242940"/>
    <d v="2023-05-30T00:00:00"/>
    <n v="5"/>
    <x v="0"/>
    <n v="35650"/>
    <n v="35650"/>
    <n v="539"/>
    <x v="1120"/>
    <s v="779230324"/>
  </r>
  <r>
    <s v="190001277"/>
    <s v="Upul Motor Garage"/>
    <x v="4"/>
    <x v="4"/>
    <s v="4227304487"/>
    <d v="2024-10-31T00:00:00"/>
    <n v="10"/>
    <x v="1"/>
    <n v="9794"/>
    <n v="9794"/>
    <n v="19"/>
    <x v="3"/>
    <s v="112409666"/>
  </r>
  <r>
    <s v="190001284"/>
    <s v="D. S. Car Detailing Centre"/>
    <x v="4"/>
    <x v="4"/>
    <s v="4227186182"/>
    <d v="2021-09-18T00:00:00"/>
    <n v="9"/>
    <x v="4"/>
    <n v="8640"/>
    <n v="8640"/>
    <n v="1158"/>
    <x v="1121"/>
    <s v="0770772091"/>
  </r>
  <r>
    <s v="190001284"/>
    <s v="D. S. Car Detailing Centre"/>
    <x v="4"/>
    <x v="4"/>
    <s v="4227186614"/>
    <d v="2021-09-24T00:00:00"/>
    <n v="9"/>
    <x v="4"/>
    <n v="4320"/>
    <n v="4320"/>
    <n v="1152"/>
    <x v="1122"/>
    <s v="0770772091"/>
  </r>
  <r>
    <s v="190001407"/>
    <s v="Colour House"/>
    <x v="4"/>
    <x v="4"/>
    <s v="4227221928"/>
    <d v="2022-09-30T00:00:00"/>
    <n v="9"/>
    <x v="6"/>
    <n v="31050"/>
    <n v="10050"/>
    <n v="781"/>
    <x v="1123"/>
    <s v="332222892"/>
  </r>
  <r>
    <s v="190001407"/>
    <s v="Colour House"/>
    <x v="4"/>
    <x v="4"/>
    <s v="4227222007"/>
    <d v="2022-09-30T00:00:00"/>
    <n v="9"/>
    <x v="6"/>
    <n v="37519"/>
    <n v="37519"/>
    <n v="781"/>
    <x v="1124"/>
    <s v="332222892"/>
  </r>
  <r>
    <s v="190001407"/>
    <s v="Colour House"/>
    <x v="4"/>
    <x v="4"/>
    <s v="4227229396"/>
    <d v="2023-01-02T00:00:00"/>
    <n v="1"/>
    <x v="0"/>
    <n v="85997"/>
    <n v="85997"/>
    <n v="687"/>
    <x v="1125"/>
    <s v="332222892"/>
  </r>
  <r>
    <s v="190001410"/>
    <s v="Glitz Park (Pvt) Ltd"/>
    <x v="4"/>
    <x v="4"/>
    <s v="16-02-01983"/>
    <d v="2016-02-29T00:00:00"/>
    <n v="2"/>
    <x v="2"/>
    <n v="25200"/>
    <n v="8740.9699999999993"/>
    <n v="3186"/>
    <x v="1126"/>
    <s v="334934514"/>
  </r>
  <r>
    <s v="190001410"/>
    <s v="Glitz Park (Pvt) Ltd"/>
    <x v="4"/>
    <x v="4"/>
    <s v="16-03-01779"/>
    <d v="2016-03-25T00:00:00"/>
    <n v="3"/>
    <x v="2"/>
    <n v="19500"/>
    <n v="17997.7"/>
    <n v="3161"/>
    <x v="1127"/>
    <s v="334934514"/>
  </r>
  <r>
    <s v="190001410"/>
    <s v="Glitz Park (Pvt) Ltd"/>
    <x v="4"/>
    <x v="4"/>
    <s v="16-04-01365"/>
    <d v="2016-04-26T00:00:00"/>
    <n v="4"/>
    <x v="2"/>
    <n v="14000"/>
    <n v="4250"/>
    <n v="3129"/>
    <x v="1128"/>
    <s v="334934514"/>
  </r>
  <r>
    <s v="190001410"/>
    <s v="Glitz Park (Pvt) Ltd"/>
    <x v="4"/>
    <x v="4"/>
    <s v="4227006537"/>
    <d v="2016-07-26T00:00:00"/>
    <n v="7"/>
    <x v="2"/>
    <n v="17865"/>
    <n v="4000.25"/>
    <n v="3038"/>
    <x v="1129"/>
    <s v="334934514"/>
  </r>
  <r>
    <s v="190001410"/>
    <s v="Glitz Park (Pvt) Ltd"/>
    <x v="4"/>
    <x v="4"/>
    <s v="4227009259"/>
    <d v="2016-08-26T00:00:00"/>
    <n v="8"/>
    <x v="2"/>
    <n v="875"/>
    <n v="875"/>
    <n v="3007"/>
    <x v="1130"/>
    <s v="334934514"/>
  </r>
  <r>
    <s v="190001410"/>
    <s v="Glitz Park (Pvt) Ltd"/>
    <x v="4"/>
    <x v="4"/>
    <s v="4227018567"/>
    <d v="2016-12-20T00:00:00"/>
    <n v="12"/>
    <x v="2"/>
    <n v="17800"/>
    <n v="17800"/>
    <n v="2891"/>
    <x v="1131"/>
    <s v="334934514"/>
  </r>
  <r>
    <s v="190001410"/>
    <s v="Glitz Park (Pvt) Ltd"/>
    <x v="4"/>
    <x v="4"/>
    <s v="4227053688"/>
    <d v="2018-01-29T00:00:00"/>
    <n v="1"/>
    <x v="2"/>
    <n v="1346"/>
    <n v="1319.62"/>
    <n v="2486"/>
    <x v="1132"/>
    <s v="334934514"/>
  </r>
  <r>
    <s v="190001410"/>
    <s v="Glitz Park (Pvt) Ltd"/>
    <x v="4"/>
    <x v="4"/>
    <s v="4227066606"/>
    <d v="2018-05-31T00:00:00"/>
    <n v="5"/>
    <x v="2"/>
    <n v="5951"/>
    <n v="5951"/>
    <n v="2364"/>
    <x v="1133"/>
    <s v="334934514"/>
  </r>
  <r>
    <s v="190001410"/>
    <s v="Glitz Park (Pvt) Ltd"/>
    <x v="4"/>
    <x v="4"/>
    <s v="4227096430"/>
    <d v="2019-03-07T00:00:00"/>
    <n v="3"/>
    <x v="5"/>
    <n v="36500"/>
    <n v="36500"/>
    <n v="2084"/>
    <x v="1134"/>
    <s v="334934514"/>
  </r>
  <r>
    <s v="190001410"/>
    <s v="Glitz Park (Pvt) Ltd"/>
    <x v="4"/>
    <x v="4"/>
    <s v="4227106079"/>
    <d v="2019-06-19T00:00:00"/>
    <n v="6"/>
    <x v="5"/>
    <n v="17480"/>
    <n v="17480"/>
    <n v="1980"/>
    <x v="1135"/>
    <s v="334934514"/>
  </r>
  <r>
    <s v="190001410"/>
    <s v="Glitz Park (Pvt) Ltd"/>
    <x v="4"/>
    <x v="4"/>
    <s v="4227108990"/>
    <d v="2019-07-15T00:00:00"/>
    <n v="7"/>
    <x v="5"/>
    <n v="21528"/>
    <n v="21528"/>
    <n v="1954"/>
    <x v="1136"/>
    <s v="334934514"/>
  </r>
  <r>
    <s v="190001410"/>
    <s v="Glitz Park (Pvt) Ltd"/>
    <x v="4"/>
    <x v="4"/>
    <s v="4227119144"/>
    <d v="2019-10-10T00:00:00"/>
    <n v="10"/>
    <x v="5"/>
    <n v="140053"/>
    <n v="24529.75"/>
    <n v="1867"/>
    <x v="1137"/>
    <s v="334934514"/>
  </r>
  <r>
    <s v="190001411"/>
    <s v="Glitz Park Trading Company  (Pvt)"/>
    <x v="4"/>
    <x v="4"/>
    <s v="4227048453"/>
    <d v="2017-12-06T00:00:00"/>
    <n v="12"/>
    <x v="2"/>
    <n v="2049"/>
    <n v="2049"/>
    <n v="2540"/>
    <x v="1138"/>
    <s v="334934512"/>
  </r>
  <r>
    <s v="190001413"/>
    <s v="Jayora Hardware"/>
    <x v="4"/>
    <x v="4"/>
    <s v="4227294935"/>
    <d v="2024-08-31T00:00:00"/>
    <n v="8"/>
    <x v="1"/>
    <n v="38142"/>
    <n v="38142"/>
    <n v="80"/>
    <x v="3"/>
    <s v="333339523"/>
  </r>
  <r>
    <s v="190001416"/>
    <s v="Lanka Auto Mart"/>
    <x v="4"/>
    <x v="4"/>
    <s v="4227283763"/>
    <d v="2024-06-13T00:00:00"/>
    <n v="6"/>
    <x v="1"/>
    <n v="10412"/>
    <n v="10412"/>
    <n v="159"/>
    <x v="1139"/>
    <s v="773723833"/>
  </r>
  <r>
    <s v="190001416"/>
    <s v="Lanka Auto Mart"/>
    <x v="4"/>
    <x v="4"/>
    <s v="4227283852"/>
    <d v="2024-06-14T00:00:00"/>
    <n v="6"/>
    <x v="1"/>
    <n v="50466"/>
    <n v="50466"/>
    <n v="158"/>
    <x v="1140"/>
    <s v="773723833"/>
  </r>
  <r>
    <s v="190001416"/>
    <s v="Lanka Auto Mart"/>
    <x v="4"/>
    <x v="4"/>
    <s v="4227284021"/>
    <d v="2024-06-17T00:00:00"/>
    <n v="6"/>
    <x v="1"/>
    <n v="19824"/>
    <n v="19824"/>
    <n v="155"/>
    <x v="1141"/>
    <s v="773723833"/>
  </r>
  <r>
    <s v="190001416"/>
    <s v="Lanka Auto Mart"/>
    <x v="4"/>
    <x v="4"/>
    <s v="4227284022"/>
    <d v="2024-06-17T00:00:00"/>
    <n v="6"/>
    <x v="1"/>
    <n v="18880"/>
    <n v="18880"/>
    <n v="155"/>
    <x v="1142"/>
    <s v="773723833"/>
  </r>
  <r>
    <s v="190001416"/>
    <s v="Lanka Auto Mart"/>
    <x v="4"/>
    <x v="4"/>
    <s v="4227290032"/>
    <d v="2024-07-31T00:00:00"/>
    <n v="7"/>
    <x v="1"/>
    <n v="6046"/>
    <n v="6046"/>
    <n v="111"/>
    <x v="1143"/>
    <s v="773723833"/>
  </r>
  <r>
    <s v="190001416"/>
    <s v="Lanka Auto Mart"/>
    <x v="4"/>
    <x v="4"/>
    <s v="4227291461"/>
    <d v="2024-08-09T00:00:00"/>
    <n v="8"/>
    <x v="1"/>
    <n v="29926"/>
    <n v="29926"/>
    <n v="102"/>
    <x v="1144"/>
    <s v="773723833"/>
  </r>
  <r>
    <s v="190001416"/>
    <s v="Lanka Auto Mart"/>
    <x v="4"/>
    <x v="4"/>
    <s v="4227298598"/>
    <d v="2024-09-30T00:00:00"/>
    <n v="9"/>
    <x v="1"/>
    <n v="29992"/>
    <n v="29992"/>
    <n v="50"/>
    <x v="3"/>
    <s v="773723833"/>
  </r>
  <r>
    <s v="190001416"/>
    <s v="Lanka Auto Mart"/>
    <x v="4"/>
    <x v="4"/>
    <s v="4227298599"/>
    <d v="2024-09-30T00:00:00"/>
    <n v="9"/>
    <x v="1"/>
    <n v="11328"/>
    <n v="11328"/>
    <n v="50"/>
    <x v="3"/>
    <s v="773723833"/>
  </r>
  <r>
    <s v="190001416"/>
    <s v="Lanka Auto Mart"/>
    <x v="4"/>
    <x v="4"/>
    <s v="4227303086"/>
    <d v="2024-10-30T00:00:00"/>
    <n v="10"/>
    <x v="1"/>
    <n v="27527"/>
    <n v="27527"/>
    <n v="20"/>
    <x v="3"/>
    <s v="773723833"/>
  </r>
  <r>
    <s v="190001416"/>
    <s v="Lanka Auto Mart"/>
    <x v="4"/>
    <x v="4"/>
    <s v="4227304382"/>
    <d v="2024-10-31T00:00:00"/>
    <n v="10"/>
    <x v="1"/>
    <n v="53100"/>
    <n v="53100"/>
    <n v="19"/>
    <x v="3"/>
    <s v="773723833"/>
  </r>
  <r>
    <s v="190001416"/>
    <s v="Lanka Auto Mart"/>
    <x v="4"/>
    <x v="4"/>
    <s v="4227304383"/>
    <d v="2024-10-31T00:00:00"/>
    <n v="10"/>
    <x v="1"/>
    <n v="12443"/>
    <n v="12443"/>
    <n v="19"/>
    <x v="3"/>
    <s v="773723833"/>
  </r>
  <r>
    <s v="190001416"/>
    <s v="Lanka Auto Mart"/>
    <x v="4"/>
    <x v="4"/>
    <s v="4227304386"/>
    <d v="2024-10-31T00:00:00"/>
    <n v="10"/>
    <x v="1"/>
    <n v="24214"/>
    <n v="24214"/>
    <n v="19"/>
    <x v="3"/>
    <s v="773723833"/>
  </r>
  <r>
    <s v="190001416"/>
    <s v="Lanka Auto Mart"/>
    <x v="4"/>
    <x v="4"/>
    <s v="4227304387"/>
    <d v="2024-10-31T00:00:00"/>
    <n v="10"/>
    <x v="1"/>
    <n v="6162"/>
    <n v="6162"/>
    <n v="19"/>
    <x v="3"/>
    <s v="773723833"/>
  </r>
  <r>
    <s v="190001416"/>
    <s v="Lanka Auto Mart"/>
    <x v="4"/>
    <x v="4"/>
    <s v="4227304388"/>
    <d v="2024-10-31T00:00:00"/>
    <n v="10"/>
    <x v="1"/>
    <n v="29417"/>
    <n v="29417"/>
    <n v="19"/>
    <x v="3"/>
    <s v="773723833"/>
  </r>
  <r>
    <s v="190001416"/>
    <s v="Lanka Auto Mart"/>
    <x v="4"/>
    <x v="4"/>
    <s v="4227305217"/>
    <d v="2024-11-08T00:00:00"/>
    <n v="11"/>
    <x v="1"/>
    <n v="8284"/>
    <n v="8284"/>
    <n v="11"/>
    <x v="3"/>
    <s v="773723833"/>
  </r>
  <r>
    <s v="190001417"/>
    <s v="Maldeniya Motors"/>
    <x v="4"/>
    <x v="4"/>
    <s v="16-02-00423"/>
    <d v="2016-02-10T00:00:00"/>
    <n v="2"/>
    <x v="2"/>
    <n v="8550"/>
    <n v="8550"/>
    <n v="3205"/>
    <x v="1145"/>
    <s v="714918273"/>
  </r>
  <r>
    <s v="190001417"/>
    <s v="Maldeniya Motors"/>
    <x v="4"/>
    <x v="4"/>
    <s v="220500"/>
    <d v="2024-03-21T00:00:00"/>
    <n v="3"/>
    <x v="1"/>
    <n v="-490"/>
    <n v="-490"/>
    <n v="243"/>
    <x v="1146"/>
    <s v="714918273"/>
  </r>
  <r>
    <s v="190001417"/>
    <s v="Maldeniya Motors"/>
    <x v="4"/>
    <x v="4"/>
    <s v="4227275876"/>
    <d v="2024-03-26T00:00:00"/>
    <n v="3"/>
    <x v="1"/>
    <n v="7104"/>
    <n v="7104"/>
    <n v="238"/>
    <x v="1147"/>
    <s v="714918273"/>
  </r>
  <r>
    <s v="190001417"/>
    <s v="Maldeniya Motors"/>
    <x v="4"/>
    <x v="4"/>
    <s v="4227275877"/>
    <d v="2024-03-26T00:00:00"/>
    <n v="3"/>
    <x v="1"/>
    <n v="7222"/>
    <n v="7222"/>
    <n v="238"/>
    <x v="1148"/>
    <s v="714918273"/>
  </r>
  <r>
    <s v="190001417"/>
    <s v="Maldeniya Motors"/>
    <x v="4"/>
    <x v="4"/>
    <s v="4227275965"/>
    <d v="2024-03-26T00:00:00"/>
    <n v="3"/>
    <x v="1"/>
    <n v="27516"/>
    <n v="27516"/>
    <n v="238"/>
    <x v="1149"/>
    <s v="714918273"/>
  </r>
  <r>
    <s v="190001417"/>
    <s v="Maldeniya Motors"/>
    <x v="4"/>
    <x v="4"/>
    <s v="4227277625"/>
    <d v="2024-04-17T00:00:00"/>
    <n v="4"/>
    <x v="1"/>
    <n v="73750"/>
    <n v="53750"/>
    <n v="216"/>
    <x v="1150"/>
    <s v="714918273"/>
  </r>
  <r>
    <s v="190001417"/>
    <s v="Maldeniya Motors"/>
    <x v="4"/>
    <x v="4"/>
    <s v="4227277667"/>
    <d v="2024-04-18T00:00:00"/>
    <n v="4"/>
    <x v="1"/>
    <n v="21240"/>
    <n v="21240"/>
    <n v="215"/>
    <x v="598"/>
    <s v="714918273"/>
  </r>
  <r>
    <s v="190001417"/>
    <s v="Maldeniya Motors"/>
    <x v="4"/>
    <x v="4"/>
    <s v="4227281093"/>
    <d v="2024-05-20T00:00:00"/>
    <n v="5"/>
    <x v="1"/>
    <n v="280"/>
    <n v="280"/>
    <n v="183"/>
    <x v="1151"/>
    <s v="714918273"/>
  </r>
  <r>
    <s v="190001417"/>
    <s v="Maldeniya Motors"/>
    <x v="4"/>
    <x v="4"/>
    <s v="4227281662"/>
    <d v="2024-05-28T00:00:00"/>
    <n v="5"/>
    <x v="1"/>
    <n v="280"/>
    <n v="280"/>
    <n v="175"/>
    <x v="1151"/>
    <s v="714918273"/>
  </r>
  <r>
    <s v="190001417"/>
    <s v="Maldeniya Motors"/>
    <x v="4"/>
    <x v="4"/>
    <s v="4227283314"/>
    <d v="2024-06-10T00:00:00"/>
    <n v="6"/>
    <x v="1"/>
    <n v="1398"/>
    <n v="1398"/>
    <n v="162"/>
    <x v="1152"/>
    <s v="714918273"/>
  </r>
  <r>
    <s v="190001417"/>
    <s v="Maldeniya Motors"/>
    <x v="4"/>
    <x v="4"/>
    <s v="4227284592"/>
    <d v="2024-06-24T00:00:00"/>
    <n v="6"/>
    <x v="1"/>
    <n v="255"/>
    <n v="255"/>
    <n v="148"/>
    <x v="997"/>
    <s v="714918273"/>
  </r>
  <r>
    <s v="190001419"/>
    <s v="Navodya Auto Service"/>
    <x v="4"/>
    <x v="4"/>
    <s v="RTN CHQ -951098"/>
    <d v="2018-11-01T00:00:00"/>
    <n v="11"/>
    <x v="2"/>
    <n v="29558"/>
    <n v="5531"/>
    <n v="2210"/>
    <x v="1153"/>
    <s v="782068138"/>
  </r>
  <r>
    <s v="190001419"/>
    <s v="Navodya Auto Service"/>
    <x v="4"/>
    <x v="4"/>
    <s v="121664 - 002204"/>
    <d v="2019-08-19T00:00:00"/>
    <n v="8"/>
    <x v="5"/>
    <n v="-530"/>
    <n v="-530"/>
    <n v="1919"/>
    <x v="1154"/>
    <s v="782068138"/>
  </r>
  <r>
    <s v="190001419"/>
    <s v="Navodya Auto Service"/>
    <x v="4"/>
    <x v="4"/>
    <s v="4227272957"/>
    <d v="2024-02-29T00:00:00"/>
    <n v="2"/>
    <x v="1"/>
    <n v="18125"/>
    <n v="18125"/>
    <n v="264"/>
    <x v="681"/>
    <s v="782068138"/>
  </r>
  <r>
    <s v="190001420"/>
    <s v="Osani Service Station"/>
    <x v="4"/>
    <x v="4"/>
    <s v="4227062687"/>
    <d v="2018-04-26T00:00:00"/>
    <n v="4"/>
    <x v="2"/>
    <n v="27065"/>
    <n v="10401"/>
    <n v="2399"/>
    <x v="1155"/>
    <s v="712769727"/>
  </r>
  <r>
    <s v="190001422"/>
    <s v="Sanka Auto"/>
    <x v="4"/>
    <x v="4"/>
    <s v="4227126990"/>
    <d v="2019-12-18T00:00:00"/>
    <n v="12"/>
    <x v="5"/>
    <n v="35413"/>
    <n v="1786"/>
    <n v="1798"/>
    <x v="1156"/>
    <s v="729199933"/>
  </r>
  <r>
    <s v="190001422"/>
    <s v="Sanka Auto"/>
    <x v="4"/>
    <x v="4"/>
    <s v="4227136308"/>
    <d v="2020-03-10T00:00:00"/>
    <n v="3"/>
    <x v="3"/>
    <n v="8105"/>
    <n v="5667"/>
    <n v="1715"/>
    <x v="1157"/>
    <s v="729199933"/>
  </r>
  <r>
    <s v="190001422"/>
    <s v="Sanka Auto"/>
    <x v="4"/>
    <x v="4"/>
    <s v="4227221830"/>
    <d v="2022-09-30T00:00:00"/>
    <n v="9"/>
    <x v="6"/>
    <n v="65458"/>
    <n v="65458"/>
    <n v="781"/>
    <x v="1158"/>
    <s v="729199933"/>
  </r>
  <r>
    <s v="190001431"/>
    <s v="Rasika Motors - Gampaha"/>
    <x v="4"/>
    <x v="4"/>
    <s v="4227034315"/>
    <d v="2017-06-30T00:00:00"/>
    <n v="6"/>
    <x v="2"/>
    <n v="124324"/>
    <n v="74324"/>
    <n v="2699"/>
    <x v="1159"/>
    <s v="719313846"/>
  </r>
  <r>
    <s v="190001431"/>
    <s v="Rasika Motors - Gampaha"/>
    <x v="4"/>
    <x v="4"/>
    <s v="4227045852"/>
    <d v="2017-11-13T00:00:00"/>
    <n v="11"/>
    <x v="2"/>
    <n v="24581"/>
    <n v="24581"/>
    <n v="2563"/>
    <x v="1160"/>
    <s v="719313846"/>
  </r>
  <r>
    <s v="190001431"/>
    <s v="Rasika Motors - Gampaha"/>
    <x v="4"/>
    <x v="4"/>
    <s v="4227045854"/>
    <d v="2017-11-13T00:00:00"/>
    <n v="11"/>
    <x v="2"/>
    <n v="36639"/>
    <n v="25419"/>
    <n v="2563"/>
    <x v="1161"/>
    <s v="719313846"/>
  </r>
  <r>
    <s v="190001431"/>
    <s v="Rasika Motors - Gampaha"/>
    <x v="4"/>
    <x v="4"/>
    <s v="4227135167"/>
    <d v="2020-02-27T00:00:00"/>
    <n v="2"/>
    <x v="3"/>
    <n v="34409"/>
    <n v="676"/>
    <n v="1727"/>
    <x v="1162"/>
    <s v="719313846"/>
  </r>
  <r>
    <s v="190001470"/>
    <s v="Sanjaya Motor Traders"/>
    <x v="4"/>
    <x v="4"/>
    <s v="4227289904"/>
    <d v="2024-07-30T00:00:00"/>
    <n v="7"/>
    <x v="1"/>
    <n v="10762"/>
    <n v="10762"/>
    <n v="112"/>
    <x v="748"/>
    <s v="773000505"/>
  </r>
  <r>
    <s v="190001470"/>
    <s v="Sanjaya Motor Traders"/>
    <x v="4"/>
    <x v="4"/>
    <s v="4227290977"/>
    <d v="2024-08-05T00:00:00"/>
    <n v="8"/>
    <x v="1"/>
    <n v="28320"/>
    <n v="28320"/>
    <n v="106"/>
    <x v="353"/>
    <s v="773000505"/>
  </r>
  <r>
    <s v="190001470"/>
    <s v="Sanjaya Motor Traders"/>
    <x v="4"/>
    <x v="4"/>
    <s v="4227304482"/>
    <d v="2024-10-31T00:00:00"/>
    <n v="10"/>
    <x v="1"/>
    <n v="24886"/>
    <n v="24886"/>
    <n v="19"/>
    <x v="3"/>
    <s v="773000505"/>
  </r>
  <r>
    <s v="190001480"/>
    <s v="B. P. P. International"/>
    <x v="4"/>
    <x v="4"/>
    <s v="4227078792"/>
    <d v="2018-09-20T00:00:00"/>
    <n v="9"/>
    <x v="2"/>
    <n v="11811"/>
    <n v="985"/>
    <n v="2252"/>
    <x v="1163"/>
    <s v="774309055"/>
  </r>
  <r>
    <s v="190001484"/>
    <s v="Jayampathi Motors"/>
    <x v="4"/>
    <x v="4"/>
    <s v="4227220361"/>
    <d v="2022-09-16T00:00:00"/>
    <n v="9"/>
    <x v="6"/>
    <n v="16519"/>
    <n v="16519"/>
    <n v="795"/>
    <x v="1164"/>
    <s v=""/>
  </r>
  <r>
    <s v="190001486"/>
    <s v="M.S Motors"/>
    <x v="4"/>
    <x v="4"/>
    <s v="4227137366"/>
    <d v="2020-05-11T00:00:00"/>
    <n v="5"/>
    <x v="3"/>
    <n v="4585"/>
    <n v="2214"/>
    <n v="1653"/>
    <x v="1165"/>
    <s v="332239450"/>
  </r>
  <r>
    <s v="190001543"/>
    <s v="Nawa Arunaloka Auto Laundry &amp;"/>
    <x v="4"/>
    <x v="4"/>
    <s v="4227281248"/>
    <d v="2024-05-21T00:00:00"/>
    <n v="5"/>
    <x v="1"/>
    <n v="9054"/>
    <n v="9054"/>
    <n v="182"/>
    <x v="1166"/>
    <s v="332262217"/>
  </r>
  <r>
    <s v="190001543"/>
    <s v="Nawa Arunaloka Auto Laundry &amp;"/>
    <x v="4"/>
    <x v="4"/>
    <s v="4227281522"/>
    <d v="2024-05-27T00:00:00"/>
    <n v="5"/>
    <x v="1"/>
    <n v="6457"/>
    <n v="6457"/>
    <n v="176"/>
    <x v="1167"/>
    <s v="332262217"/>
  </r>
  <r>
    <s v="190001560"/>
    <s v="Suranga Motors"/>
    <x v="4"/>
    <x v="4"/>
    <s v="4227296825"/>
    <d v="2024-09-20T00:00:00"/>
    <n v="9"/>
    <x v="1"/>
    <n v="6490"/>
    <n v="6490"/>
    <n v="60"/>
    <x v="3"/>
    <s v=""/>
  </r>
  <r>
    <s v="190001676"/>
    <s v="Padmasiri Auto Service"/>
    <x v="4"/>
    <x v="4"/>
    <s v="4227298600"/>
    <d v="2024-09-30T00:00:00"/>
    <n v="9"/>
    <x v="1"/>
    <n v="16520"/>
    <n v="16520"/>
    <n v="50"/>
    <x v="3"/>
    <s v="714630063"/>
  </r>
  <r>
    <s v="190001676"/>
    <s v="Padmasiri Auto Service"/>
    <x v="4"/>
    <x v="4"/>
    <s v="4227298601"/>
    <d v="2024-09-30T00:00:00"/>
    <n v="9"/>
    <x v="1"/>
    <n v="9440"/>
    <n v="9440"/>
    <n v="50"/>
    <x v="3"/>
    <s v="714630063"/>
  </r>
  <r>
    <s v="190001681"/>
    <s v="Karunarathne Service"/>
    <x v="4"/>
    <x v="4"/>
    <s v="4227056688"/>
    <d v="2018-02-26T00:00:00"/>
    <n v="2"/>
    <x v="2"/>
    <n v="11799"/>
    <n v="6438"/>
    <n v="2458"/>
    <x v="392"/>
    <s v="337917588"/>
  </r>
  <r>
    <s v="190001681"/>
    <s v="Karunarathne Service"/>
    <x v="4"/>
    <x v="4"/>
    <s v="4227056689"/>
    <d v="2018-02-26T00:00:00"/>
    <n v="2"/>
    <x v="2"/>
    <n v="25220"/>
    <n v="16764.84"/>
    <n v="2458"/>
    <x v="1168"/>
    <s v="337917588"/>
  </r>
  <r>
    <s v="190001682"/>
    <s v="Ruwan Motors Ltd"/>
    <x v="4"/>
    <x v="4"/>
    <s v="4227274060"/>
    <d v="2024-03-11T00:00:00"/>
    <n v="3"/>
    <x v="1"/>
    <n v="8935"/>
    <n v="1564"/>
    <n v="253"/>
    <x v="1169"/>
    <s v="332255934"/>
  </r>
  <r>
    <s v="190001682"/>
    <s v="Ruwan Motors Ltd"/>
    <x v="4"/>
    <x v="4"/>
    <s v="4227290739"/>
    <d v="2024-07-31T00:00:00"/>
    <n v="7"/>
    <x v="1"/>
    <n v="78354"/>
    <n v="53354"/>
    <n v="111"/>
    <x v="1170"/>
    <s v="332255934"/>
  </r>
  <r>
    <s v="190001683"/>
    <s v="Karunarathna Motors - Hengama"/>
    <x v="4"/>
    <x v="4"/>
    <s v="121666 - 109871"/>
    <d v="2019-09-02T00:00:00"/>
    <n v="9"/>
    <x v="5"/>
    <n v="-700"/>
    <n v="-700"/>
    <n v="1905"/>
    <x v="1171"/>
    <s v="334944082"/>
  </r>
  <r>
    <s v="190001683"/>
    <s v="Karunarathna Motors - Hengama"/>
    <x v="4"/>
    <x v="4"/>
    <s v="4227114837"/>
    <d v="2019-09-03T00:00:00"/>
    <n v="9"/>
    <x v="5"/>
    <n v="10764"/>
    <n v="256"/>
    <n v="1904"/>
    <x v="1172"/>
    <s v="334944082"/>
  </r>
  <r>
    <s v="190001683"/>
    <s v="Karunarathna Motors - Hengama"/>
    <x v="4"/>
    <x v="4"/>
    <s v="4227123523"/>
    <d v="2019-11-21T00:00:00"/>
    <n v="11"/>
    <x v="5"/>
    <n v="29900"/>
    <n v="29900"/>
    <n v="1825"/>
    <x v="909"/>
    <s v="334944082"/>
  </r>
  <r>
    <s v="190001683"/>
    <s v="Karunarathna Motors - Hengama"/>
    <x v="4"/>
    <x v="4"/>
    <s v="4227125640"/>
    <d v="2019-12-06T00:00:00"/>
    <n v="12"/>
    <x v="5"/>
    <n v="4739"/>
    <n v="4739"/>
    <n v="1810"/>
    <x v="1173"/>
    <s v="334944082"/>
  </r>
  <r>
    <s v="190001683"/>
    <s v="Karunarathna Motors - Hengama"/>
    <x v="4"/>
    <x v="4"/>
    <s v="4227125971"/>
    <d v="2019-12-10T00:00:00"/>
    <n v="12"/>
    <x v="5"/>
    <n v="11372"/>
    <n v="11372"/>
    <n v="1806"/>
    <x v="1174"/>
    <s v="334944082"/>
  </r>
  <r>
    <s v="190001683"/>
    <s v="Karunarathna Motors - Hengama"/>
    <x v="4"/>
    <x v="4"/>
    <s v="4227126069"/>
    <d v="2019-12-10T00:00:00"/>
    <n v="12"/>
    <x v="5"/>
    <n v="3758"/>
    <n v="3758"/>
    <n v="1806"/>
    <x v="1175"/>
    <s v="334944082"/>
  </r>
  <r>
    <s v="190001683"/>
    <s v="Karunarathna Motors - Hengama"/>
    <x v="4"/>
    <x v="4"/>
    <s v="4227126070"/>
    <d v="2019-12-10T00:00:00"/>
    <n v="12"/>
    <x v="5"/>
    <n v="4352"/>
    <n v="4352"/>
    <n v="1806"/>
    <x v="1176"/>
    <s v="334944082"/>
  </r>
  <r>
    <s v="190001683"/>
    <s v="Karunarathna Motors - Hengama"/>
    <x v="4"/>
    <x v="4"/>
    <s v="4227126072"/>
    <d v="2019-12-10T00:00:00"/>
    <n v="12"/>
    <x v="5"/>
    <n v="4806"/>
    <n v="4806"/>
    <n v="1806"/>
    <x v="1177"/>
    <s v="334944082"/>
  </r>
  <r>
    <s v="190001683"/>
    <s v="Karunarathna Motors - Hengama"/>
    <x v="4"/>
    <x v="4"/>
    <s v="4227126073"/>
    <d v="2019-12-10T00:00:00"/>
    <n v="12"/>
    <x v="5"/>
    <n v="2624"/>
    <n v="2624"/>
    <n v="1806"/>
    <x v="1178"/>
    <s v="334944082"/>
  </r>
  <r>
    <s v="190001683"/>
    <s v="Karunarathna Motors - Hengama"/>
    <x v="4"/>
    <x v="4"/>
    <s v="4227126482"/>
    <d v="2019-12-16T00:00:00"/>
    <n v="12"/>
    <x v="5"/>
    <n v="1728"/>
    <n v="1728"/>
    <n v="1800"/>
    <x v="349"/>
    <s v="334944082"/>
  </r>
  <r>
    <s v="190001683"/>
    <s v="Karunarathna Motors - Hengama"/>
    <x v="4"/>
    <x v="4"/>
    <s v="4227126978"/>
    <d v="2019-12-18T00:00:00"/>
    <n v="12"/>
    <x v="5"/>
    <n v="4739"/>
    <n v="4739"/>
    <n v="1798"/>
    <x v="1173"/>
    <s v="334944082"/>
  </r>
  <r>
    <s v="190001683"/>
    <s v="Karunarathna Motors - Hengama"/>
    <x v="4"/>
    <x v="4"/>
    <s v="4227128331"/>
    <d v="2019-12-31T00:00:00"/>
    <n v="12"/>
    <x v="5"/>
    <n v="11372"/>
    <n v="11372"/>
    <n v="1785"/>
    <x v="1174"/>
    <s v="334944082"/>
  </r>
  <r>
    <s v="190001683"/>
    <s v="Karunarathna Motors - Hengama"/>
    <x v="4"/>
    <x v="4"/>
    <s v="4227145400"/>
    <d v="2020-07-29T00:00:00"/>
    <n v="7"/>
    <x v="3"/>
    <n v="22398"/>
    <n v="22398"/>
    <n v="1574"/>
    <x v="1179"/>
    <s v="334944082"/>
  </r>
  <r>
    <s v="190001683"/>
    <s v="Karunarathna Motors - Hengama"/>
    <x v="4"/>
    <x v="4"/>
    <s v="4227145646"/>
    <d v="2020-07-30T00:00:00"/>
    <n v="7"/>
    <x v="3"/>
    <n v="11372"/>
    <n v="11372"/>
    <n v="1573"/>
    <x v="1174"/>
    <s v="334944082"/>
  </r>
  <r>
    <s v="190001685"/>
    <s v="Duvindu Motors"/>
    <x v="4"/>
    <x v="4"/>
    <s v="4227287696"/>
    <d v="2024-07-17T00:00:00"/>
    <n v="7"/>
    <x v="1"/>
    <n v="3269"/>
    <n v="3269"/>
    <n v="125"/>
    <x v="1180"/>
    <s v="0777736250"/>
  </r>
  <r>
    <s v="190001685"/>
    <s v="Duvindu Motors"/>
    <x v="4"/>
    <x v="4"/>
    <s v="4227291356"/>
    <d v="2024-08-08T00:00:00"/>
    <n v="8"/>
    <x v="1"/>
    <n v="2832"/>
    <n v="0"/>
    <n v="103"/>
    <x v="345"/>
    <s v="0777736250"/>
  </r>
  <r>
    <s v="190001685"/>
    <s v="Duvindu Motors"/>
    <x v="4"/>
    <x v="4"/>
    <s v="4227291695"/>
    <d v="2024-08-12T00:00:00"/>
    <n v="8"/>
    <x v="1"/>
    <n v="59000"/>
    <n v="59000"/>
    <n v="99"/>
    <x v="1181"/>
    <s v="0777736250"/>
  </r>
  <r>
    <s v="190001930"/>
    <s v="Suntec Clean Park"/>
    <x v="4"/>
    <x v="4"/>
    <s v="4227178398"/>
    <d v="2021-06-11T00:00:00"/>
    <n v="6"/>
    <x v="4"/>
    <n v="23355"/>
    <n v="23355"/>
    <n v="1257"/>
    <x v="1182"/>
    <s v="777317171"/>
  </r>
  <r>
    <s v="190001930"/>
    <s v="Suntec Clean Park"/>
    <x v="4"/>
    <x v="4"/>
    <s v="4227180017"/>
    <d v="2021-07-06T00:00:00"/>
    <n v="7"/>
    <x v="4"/>
    <n v="43740"/>
    <n v="43740"/>
    <n v="1232"/>
    <x v="1183"/>
    <s v="777317171"/>
  </r>
  <r>
    <s v="190001930"/>
    <s v="Suntec Clean Park"/>
    <x v="4"/>
    <x v="4"/>
    <s v="4227181032"/>
    <d v="2021-07-15T00:00:00"/>
    <n v="7"/>
    <x v="4"/>
    <n v="27014"/>
    <n v="27014"/>
    <n v="1223"/>
    <x v="1184"/>
    <s v="777317171"/>
  </r>
  <r>
    <s v="190001930"/>
    <s v="Suntec Clean Park"/>
    <x v="4"/>
    <x v="4"/>
    <s v="4227190054"/>
    <d v="2021-10-26T00:00:00"/>
    <n v="10"/>
    <x v="4"/>
    <n v="4860"/>
    <n v="4860"/>
    <n v="1120"/>
    <x v="958"/>
    <s v="777317171"/>
  </r>
  <r>
    <s v="190001992"/>
    <s v="Nalinda Motors"/>
    <x v="4"/>
    <x v="4"/>
    <s v="4227227552"/>
    <d v="2022-12-09T00:00:00"/>
    <n v="12"/>
    <x v="6"/>
    <n v="6645"/>
    <n v="2215"/>
    <n v="711"/>
    <x v="1185"/>
    <s v="773718713"/>
  </r>
  <r>
    <s v="190002047"/>
    <s v="Car Fashion"/>
    <x v="4"/>
    <x v="4"/>
    <s v="4227287342"/>
    <d v="2024-07-15T00:00:00"/>
    <n v="7"/>
    <x v="1"/>
    <n v="12001"/>
    <n v="12001"/>
    <n v="127"/>
    <x v="1186"/>
    <s v="777820109"/>
  </r>
  <r>
    <s v="190002061"/>
    <s v="N. K. Motors"/>
    <x v="4"/>
    <x v="4"/>
    <s v="4227305726"/>
    <d v="2024-11-13T00:00:00"/>
    <n v="11"/>
    <x v="1"/>
    <n v="8260"/>
    <n v="8260"/>
    <n v="6"/>
    <x v="3"/>
    <s v="723381920"/>
  </r>
  <r>
    <s v="190002061"/>
    <s v="N. K. Motors"/>
    <x v="4"/>
    <x v="4"/>
    <s v="4227305839"/>
    <d v="2024-11-14T00:00:00"/>
    <n v="11"/>
    <x v="1"/>
    <n v="8260"/>
    <n v="8260"/>
    <n v="5"/>
    <x v="3"/>
    <s v="723381920"/>
  </r>
  <r>
    <s v="190002432"/>
    <s v="Sepro Lanka Auto Service"/>
    <x v="4"/>
    <x v="4"/>
    <s v="4227037695"/>
    <d v="2017-08-15T00:00:00"/>
    <n v="8"/>
    <x v="2"/>
    <n v="18929"/>
    <n v="18929"/>
    <n v="2653"/>
    <x v="1187"/>
    <s v=""/>
  </r>
  <r>
    <s v="190002432"/>
    <s v="Sepro Lanka Auto Service"/>
    <x v="4"/>
    <x v="4"/>
    <s v="4227172424"/>
    <d v="2021-03-30T00:00:00"/>
    <n v="3"/>
    <x v="4"/>
    <n v="21751"/>
    <n v="18079"/>
    <n v="1330"/>
    <x v="1188"/>
    <s v=""/>
  </r>
  <r>
    <s v="190002432"/>
    <s v="Sepro Lanka Auto Service"/>
    <x v="4"/>
    <x v="4"/>
    <s v="4227172425"/>
    <d v="2021-03-30T00:00:00"/>
    <n v="3"/>
    <x v="4"/>
    <n v="6480"/>
    <n v="6480"/>
    <n v="1330"/>
    <x v="231"/>
    <s v=""/>
  </r>
  <r>
    <s v="190002432"/>
    <s v="Sepro Lanka Auto Service"/>
    <x v="4"/>
    <x v="4"/>
    <s v="4227172491"/>
    <d v="2021-03-30T00:00:00"/>
    <n v="3"/>
    <x v="4"/>
    <n v="2916"/>
    <n v="2916"/>
    <n v="1330"/>
    <x v="1189"/>
    <s v=""/>
  </r>
  <r>
    <s v="190002611"/>
    <s v="New Yasitha Auto Service &amp; Garage"/>
    <x v="4"/>
    <x v="4"/>
    <s v="4227295382"/>
    <d v="2024-09-03T00:00:00"/>
    <n v="9"/>
    <x v="1"/>
    <n v="14797"/>
    <n v="14797"/>
    <n v="77"/>
    <x v="3"/>
    <s v="776147126"/>
  </r>
  <r>
    <s v="190002612"/>
    <s v="Siyane Service Station"/>
    <x v="4"/>
    <x v="4"/>
    <s v="4227196721"/>
    <d v="2021-12-21T00:00:00"/>
    <n v="12"/>
    <x v="4"/>
    <n v="19725"/>
    <n v="19725"/>
    <n v="1064"/>
    <x v="1190"/>
    <s v="777423429"/>
  </r>
  <r>
    <s v="190002616"/>
    <s v="Sampath Motors"/>
    <x v="4"/>
    <x v="4"/>
    <s v="4227252406"/>
    <d v="2023-08-31T00:00:00"/>
    <n v="8"/>
    <x v="0"/>
    <n v="9660"/>
    <n v="9660"/>
    <n v="446"/>
    <x v="540"/>
    <s v="332269491"/>
  </r>
  <r>
    <s v="190002616"/>
    <s v="Sampath Motors"/>
    <x v="4"/>
    <x v="4"/>
    <s v="4227253200"/>
    <d v="2023-09-06T00:00:00"/>
    <n v="9"/>
    <x v="0"/>
    <n v="489"/>
    <n v="489"/>
    <n v="440"/>
    <x v="1191"/>
    <s v="332269491"/>
  </r>
  <r>
    <s v="190003044"/>
    <s v="Auto Star Motors"/>
    <x v="4"/>
    <x v="4"/>
    <s v="4227274316"/>
    <d v="2024-03-12T00:00:00"/>
    <n v="3"/>
    <x v="1"/>
    <n v="57603"/>
    <n v="27603"/>
    <n v="252"/>
    <x v="1192"/>
    <s v="777874867"/>
  </r>
  <r>
    <s v="190003044"/>
    <s v="Auto Star Motors"/>
    <x v="4"/>
    <x v="4"/>
    <s v="4227276471"/>
    <d v="2024-03-28T00:00:00"/>
    <n v="3"/>
    <x v="1"/>
    <n v="36108"/>
    <n v="2397"/>
    <n v="236"/>
    <x v="1193"/>
    <s v="777874867"/>
  </r>
  <r>
    <s v="190003044"/>
    <s v="Auto Star Motors"/>
    <x v="4"/>
    <x v="4"/>
    <s v="4227302618"/>
    <d v="2024-10-28T00:00:00"/>
    <n v="10"/>
    <x v="1"/>
    <n v="18408"/>
    <n v="18408"/>
    <n v="22"/>
    <x v="3"/>
    <s v="777874867"/>
  </r>
  <r>
    <s v="190003044"/>
    <s v="Auto Star Motors"/>
    <x v="4"/>
    <x v="4"/>
    <s v="4227302619"/>
    <d v="2024-10-28T00:00:00"/>
    <n v="10"/>
    <x v="1"/>
    <n v="18408"/>
    <n v="18408"/>
    <n v="22"/>
    <x v="3"/>
    <s v="777874867"/>
  </r>
  <r>
    <s v="190003045"/>
    <s v="Dilhara Service Station"/>
    <x v="4"/>
    <x v="4"/>
    <s v="225177 / 960651"/>
    <d v="2024-06-18T00:00:00"/>
    <n v="6"/>
    <x v="1"/>
    <n v="-605"/>
    <n v="-605"/>
    <n v="154"/>
    <x v="1194"/>
    <s v="112963225"/>
  </r>
  <r>
    <s v="190003045"/>
    <s v="Dilhara Service Station"/>
    <x v="4"/>
    <x v="4"/>
    <s v="234721 / 960873"/>
    <d v="2024-11-18T00:00:00"/>
    <n v="11"/>
    <x v="1"/>
    <n v="-1"/>
    <n v="-1"/>
    <n v="1"/>
    <x v="3"/>
    <s v="112963225"/>
  </r>
  <r>
    <s v="190003045"/>
    <s v="Dilhara Service Station"/>
    <x v="4"/>
    <x v="4"/>
    <s v="4227218191"/>
    <d v="2022-08-24T00:00:00"/>
    <n v="8"/>
    <x v="6"/>
    <n v="38304"/>
    <n v="38304"/>
    <n v="818"/>
    <x v="1195"/>
    <s v="112963225"/>
  </r>
  <r>
    <s v="190003045"/>
    <s v="Dilhara Service Station"/>
    <x v="4"/>
    <x v="4"/>
    <s v="4227223678"/>
    <d v="2022-10-26T00:00:00"/>
    <n v="10"/>
    <x v="6"/>
    <n v="6320"/>
    <n v="6320"/>
    <n v="755"/>
    <x v="1196"/>
    <s v="112963225"/>
  </r>
  <r>
    <s v="190003045"/>
    <s v="Dilhara Service Station"/>
    <x v="4"/>
    <x v="4"/>
    <s v="4227272146"/>
    <d v="2024-02-26T00:00:00"/>
    <n v="2"/>
    <x v="1"/>
    <n v="26196"/>
    <n v="604"/>
    <n v="267"/>
    <x v="1197"/>
    <s v="112963225"/>
  </r>
  <r>
    <s v="190003045"/>
    <s v="Dilhara Service Station"/>
    <x v="4"/>
    <x v="4"/>
    <s v="4227272162"/>
    <d v="2024-02-26T00:00:00"/>
    <n v="2"/>
    <x v="1"/>
    <n v="63720"/>
    <n v="63720"/>
    <n v="267"/>
    <x v="1198"/>
    <s v="112963225"/>
  </r>
  <r>
    <s v="190003045"/>
    <s v="Dilhara Service Station"/>
    <x v="4"/>
    <x v="4"/>
    <s v="4227298582"/>
    <d v="2024-09-30T00:00:00"/>
    <n v="9"/>
    <x v="1"/>
    <n v="14868"/>
    <n v="14868"/>
    <n v="50"/>
    <x v="3"/>
    <s v="112963225"/>
  </r>
  <r>
    <s v="190003045"/>
    <s v="Dilhara Service Station"/>
    <x v="4"/>
    <x v="4"/>
    <s v="5227015957"/>
    <d v="2024-11-18T00:00:00"/>
    <n v="11"/>
    <x v="1"/>
    <n v="-63720"/>
    <n v="-63720"/>
    <n v="1"/>
    <x v="3"/>
    <s v="112963225"/>
  </r>
  <r>
    <s v="190003050"/>
    <s v="Oshika Auto"/>
    <x v="4"/>
    <x v="4"/>
    <s v="4227238375"/>
    <d v="2023-04-06T00:00:00"/>
    <n v="4"/>
    <x v="0"/>
    <n v="41788"/>
    <n v="9729.0400000000009"/>
    <n v="593"/>
    <x v="1199"/>
    <s v="113046229"/>
  </r>
  <r>
    <s v="190003050"/>
    <s v="Oshika Auto"/>
    <x v="4"/>
    <x v="4"/>
    <s v="4227299746"/>
    <d v="2024-10-08T00:00:00"/>
    <n v="10"/>
    <x v="1"/>
    <n v="17429"/>
    <n v="17429"/>
    <n v="42"/>
    <x v="3"/>
    <s v="113046229"/>
  </r>
  <r>
    <s v="190003050"/>
    <s v="Oshika Auto"/>
    <x v="4"/>
    <x v="4"/>
    <s v="4227303096"/>
    <d v="2024-10-30T00:00:00"/>
    <n v="10"/>
    <x v="1"/>
    <n v="15576"/>
    <n v="15576"/>
    <n v="20"/>
    <x v="3"/>
    <s v="113046229"/>
  </r>
  <r>
    <s v="190003050"/>
    <s v="Oshika Auto"/>
    <x v="4"/>
    <x v="4"/>
    <s v="4227303097"/>
    <d v="2024-10-30T00:00:00"/>
    <n v="10"/>
    <x v="1"/>
    <n v="7257"/>
    <n v="7257"/>
    <n v="20"/>
    <x v="3"/>
    <s v="113046229"/>
  </r>
  <r>
    <s v="190003112"/>
    <s v="Sasvi Automobile"/>
    <x v="4"/>
    <x v="4"/>
    <s v="4227281543"/>
    <d v="2024-05-27T00:00:00"/>
    <n v="5"/>
    <x v="1"/>
    <n v="99545"/>
    <n v="6719.28"/>
    <n v="176"/>
    <x v="1200"/>
    <s v="776722842"/>
  </r>
  <r>
    <s v="190003112"/>
    <s v="Sasvi Automobile"/>
    <x v="4"/>
    <x v="4"/>
    <s v="4227285369"/>
    <d v="2024-06-28T00:00:00"/>
    <n v="6"/>
    <x v="1"/>
    <n v="62546"/>
    <n v="12744"/>
    <n v="144"/>
    <x v="1201"/>
    <s v="776722842"/>
  </r>
  <r>
    <s v="190003112"/>
    <s v="Sasvi Automobile"/>
    <x v="4"/>
    <x v="4"/>
    <s v="4227292110"/>
    <d v="2024-08-14T00:00:00"/>
    <n v="8"/>
    <x v="1"/>
    <n v="56640"/>
    <n v="4291"/>
    <n v="97"/>
    <x v="1202"/>
    <s v="776722842"/>
  </r>
  <r>
    <s v="190003310"/>
    <s v="Bandara Motors - Mawaramandiya"/>
    <x v="4"/>
    <x v="4"/>
    <s v="4227296829"/>
    <d v="2024-09-20T00:00:00"/>
    <n v="9"/>
    <x v="1"/>
    <n v="6667"/>
    <n v="6667"/>
    <n v="60"/>
    <x v="3"/>
    <s v="779388417"/>
  </r>
  <r>
    <s v="190003567"/>
    <s v="Achini Motors"/>
    <x v="4"/>
    <x v="4"/>
    <s v="4227281010"/>
    <d v="2024-05-17T00:00:00"/>
    <n v="5"/>
    <x v="1"/>
    <n v="64570"/>
    <n v="64570"/>
    <n v="186"/>
    <x v="31"/>
    <s v="332687449"/>
  </r>
  <r>
    <s v="190003567"/>
    <s v="Achini Motors"/>
    <x v="4"/>
    <x v="4"/>
    <s v="4227282166"/>
    <d v="2024-05-30T00:00:00"/>
    <n v="5"/>
    <x v="1"/>
    <n v="24886"/>
    <n v="24886"/>
    <n v="173"/>
    <x v="954"/>
    <s v="332687449"/>
  </r>
  <r>
    <s v="190003567"/>
    <s v="Achini Motors"/>
    <x v="4"/>
    <x v="4"/>
    <s v="4227283760"/>
    <d v="2024-06-13T00:00:00"/>
    <n v="6"/>
    <x v="1"/>
    <n v="23010"/>
    <n v="23010"/>
    <n v="159"/>
    <x v="830"/>
    <s v="332687449"/>
  </r>
  <r>
    <s v="190003567"/>
    <s v="Achini Motors"/>
    <x v="4"/>
    <x v="4"/>
    <s v="4227283761"/>
    <d v="2024-06-13T00:00:00"/>
    <n v="6"/>
    <x v="1"/>
    <n v="13688"/>
    <n v="13688"/>
    <n v="159"/>
    <x v="1203"/>
    <s v="332687449"/>
  </r>
  <r>
    <s v="190003567"/>
    <s v="Achini Motors"/>
    <x v="4"/>
    <x v="4"/>
    <s v="4227303098"/>
    <d v="2024-10-30T00:00:00"/>
    <n v="10"/>
    <x v="1"/>
    <n v="99545"/>
    <n v="99545"/>
    <n v="20"/>
    <x v="3"/>
    <s v="332687449"/>
  </r>
  <r>
    <s v="190003567"/>
    <s v="Achini Motors"/>
    <x v="4"/>
    <x v="4"/>
    <s v="4227303099"/>
    <d v="2024-10-30T00:00:00"/>
    <n v="10"/>
    <x v="1"/>
    <n v="7434"/>
    <n v="7434"/>
    <n v="20"/>
    <x v="3"/>
    <s v="332687449"/>
  </r>
  <r>
    <s v="190003676"/>
    <s v="Ceylon Car Care"/>
    <x v="4"/>
    <x v="4"/>
    <s v="4227290692"/>
    <d v="2024-07-31T00:00:00"/>
    <n v="7"/>
    <x v="1"/>
    <n v="265500"/>
    <n v="200500"/>
    <n v="111"/>
    <x v="1204"/>
    <s v="777643652"/>
  </r>
  <r>
    <s v="190003676"/>
    <s v="Ceylon Car Care"/>
    <x v="4"/>
    <x v="4"/>
    <s v="4227305107"/>
    <d v="2024-11-07T00:00:00"/>
    <n v="11"/>
    <x v="1"/>
    <n v="17110"/>
    <n v="17110"/>
    <n v="12"/>
    <x v="3"/>
    <s v="777643652"/>
  </r>
  <r>
    <s v="190003678"/>
    <s v="Chaminda Motors"/>
    <x v="4"/>
    <x v="4"/>
    <s v="4227224752"/>
    <d v="2022-11-03T00:00:00"/>
    <n v="11"/>
    <x v="6"/>
    <n v="9129"/>
    <n v="5501"/>
    <n v="747"/>
    <x v="1205"/>
    <s v="770130230"/>
  </r>
  <r>
    <s v="190003679"/>
    <s v="Creative Auto Shine"/>
    <x v="4"/>
    <x v="4"/>
    <s v="4227257575"/>
    <d v="2023-10-09T00:00:00"/>
    <n v="10"/>
    <x v="0"/>
    <n v="14950"/>
    <n v="14950"/>
    <n v="407"/>
    <x v="1206"/>
    <s v="332289873"/>
  </r>
  <r>
    <s v="190003679"/>
    <s v="Creative Auto Shine"/>
    <x v="4"/>
    <x v="4"/>
    <s v="4227272630"/>
    <d v="2024-02-28T00:00:00"/>
    <n v="2"/>
    <x v="1"/>
    <n v="46055"/>
    <n v="5000"/>
    <n v="265"/>
    <x v="493"/>
    <s v="332289873"/>
  </r>
  <r>
    <s v="190003679"/>
    <s v="Creative Auto Shine"/>
    <x v="4"/>
    <x v="4"/>
    <s v="4227291444"/>
    <d v="2024-08-09T00:00:00"/>
    <n v="8"/>
    <x v="1"/>
    <n v="20739"/>
    <n v="20739"/>
    <n v="102"/>
    <x v="1207"/>
    <s v="332289873"/>
  </r>
  <r>
    <s v="190003679"/>
    <s v="Creative Auto Shine"/>
    <x v="4"/>
    <x v="4"/>
    <s v="4227291507"/>
    <d v="2024-08-09T00:00:00"/>
    <n v="8"/>
    <x v="1"/>
    <n v="56640"/>
    <n v="56640"/>
    <n v="102"/>
    <x v="330"/>
    <s v="332289873"/>
  </r>
  <r>
    <s v="190003679"/>
    <s v="Creative Auto Shine"/>
    <x v="4"/>
    <x v="4"/>
    <s v="4227296627"/>
    <d v="2024-09-18T00:00:00"/>
    <n v="9"/>
    <x v="1"/>
    <n v="28320"/>
    <n v="28320"/>
    <n v="62"/>
    <x v="3"/>
    <s v="332289873"/>
  </r>
  <r>
    <s v="190003679"/>
    <s v="Creative Auto Shine"/>
    <x v="4"/>
    <x v="4"/>
    <s v="5227014896"/>
    <d v="2024-05-14T00:00:00"/>
    <n v="5"/>
    <x v="1"/>
    <n v="-14950"/>
    <n v="-14950"/>
    <n v="189"/>
    <x v="1208"/>
    <s v="332289873"/>
  </r>
  <r>
    <s v="190003681"/>
    <s v="Dhakshina Paint Centre"/>
    <x v="4"/>
    <x v="4"/>
    <s v="4227028997"/>
    <d v="2017-04-27T00:00:00"/>
    <n v="4"/>
    <x v="2"/>
    <n v="21011"/>
    <n v="21011"/>
    <n v="2763"/>
    <x v="1209"/>
    <s v="777740183"/>
  </r>
  <r>
    <s v="190003686"/>
    <s v="Millenium Motors"/>
    <x v="4"/>
    <x v="4"/>
    <s v="4227167218"/>
    <d v="2021-02-20T00:00:00"/>
    <n v="2"/>
    <x v="4"/>
    <n v="6629"/>
    <n v="6629"/>
    <n v="1368"/>
    <x v="1210"/>
    <s v="773287340"/>
  </r>
  <r>
    <s v="190003686"/>
    <s v="Millenium Motors"/>
    <x v="4"/>
    <x v="4"/>
    <s v="4227169013"/>
    <d v="2021-03-08T00:00:00"/>
    <n v="3"/>
    <x v="4"/>
    <n v="2569"/>
    <n v="2569"/>
    <n v="1352"/>
    <x v="1211"/>
    <s v="773287340"/>
  </r>
  <r>
    <s v="190003693"/>
    <s v="Sampath Motors - Nittambuwa"/>
    <x v="4"/>
    <x v="4"/>
    <s v=""/>
    <d v="2024-03-27T00:00:00"/>
    <n v="3"/>
    <x v="1"/>
    <n v="-3796"/>
    <n v="-246"/>
    <n v="237"/>
    <x v="1212"/>
    <s v="773435889"/>
  </r>
  <r>
    <s v="190003693"/>
    <s v="Sampath Motors - Nittambuwa"/>
    <x v="4"/>
    <x v="4"/>
    <s v=""/>
    <d v="2023-04-18T00:00:00"/>
    <n v="4"/>
    <x v="0"/>
    <n v="-25175"/>
    <n v="-25175"/>
    <n v="581"/>
    <x v="1213"/>
    <s v="773435889"/>
  </r>
  <r>
    <s v="190003693"/>
    <s v="Sampath Motors - Nittambuwa"/>
    <x v="4"/>
    <x v="4"/>
    <s v=""/>
    <d v="2024-10-05T00:00:00"/>
    <n v="10"/>
    <x v="1"/>
    <n v="-11328"/>
    <n v="-11328"/>
    <n v="45"/>
    <x v="3"/>
    <s v="773435889"/>
  </r>
  <r>
    <s v="190003693"/>
    <s v="Sampath Motors - Nittambuwa"/>
    <x v="4"/>
    <x v="4"/>
    <s v="230219/658917"/>
    <d v="2024-09-11T00:00:00"/>
    <n v="9"/>
    <x v="1"/>
    <n v="-21179"/>
    <n v="-21179"/>
    <n v="69"/>
    <x v="3"/>
    <s v="773435889"/>
  </r>
  <r>
    <s v="190003693"/>
    <s v="Sampath Motors - Nittambuwa"/>
    <x v="4"/>
    <x v="4"/>
    <s v="4227282083"/>
    <d v="2024-05-30T00:00:00"/>
    <n v="5"/>
    <x v="1"/>
    <n v="143299"/>
    <n v="222"/>
    <n v="173"/>
    <x v="376"/>
    <s v="773435889"/>
  </r>
  <r>
    <s v="190003693"/>
    <s v="Sampath Motors - Nittambuwa"/>
    <x v="4"/>
    <x v="4"/>
    <s v="4227285371"/>
    <d v="2024-06-28T00:00:00"/>
    <n v="6"/>
    <x v="1"/>
    <n v="32285"/>
    <n v="32285"/>
    <n v="144"/>
    <x v="334"/>
    <s v="773435889"/>
  </r>
  <r>
    <s v="190003693"/>
    <s v="Sampath Motors - Nittambuwa"/>
    <x v="4"/>
    <x v="4"/>
    <s v="4227298038"/>
    <d v="2024-09-27T00:00:00"/>
    <n v="9"/>
    <x v="1"/>
    <n v="16579"/>
    <n v="16579"/>
    <n v="53"/>
    <x v="3"/>
    <s v="773435889"/>
  </r>
  <r>
    <s v="190003693"/>
    <s v="Sampath Motors - Nittambuwa"/>
    <x v="4"/>
    <x v="4"/>
    <s v="4227298039"/>
    <d v="2024-09-27T00:00:00"/>
    <n v="9"/>
    <x v="1"/>
    <n v="16308"/>
    <n v="16308"/>
    <n v="53"/>
    <x v="3"/>
    <s v="773435889"/>
  </r>
  <r>
    <s v="190003693"/>
    <s v="Sampath Motors - Nittambuwa"/>
    <x v="4"/>
    <x v="4"/>
    <s v="4227298040"/>
    <d v="2024-09-27T00:00:00"/>
    <n v="9"/>
    <x v="1"/>
    <n v="99545"/>
    <n v="99545"/>
    <n v="53"/>
    <x v="3"/>
    <s v="773435889"/>
  </r>
  <r>
    <s v="190003693"/>
    <s v="Sampath Motors - Nittambuwa"/>
    <x v="4"/>
    <x v="4"/>
    <s v="4227298943"/>
    <d v="2024-09-30T00:00:00"/>
    <n v="9"/>
    <x v="1"/>
    <n v="119459"/>
    <n v="119459"/>
    <n v="50"/>
    <x v="3"/>
    <s v="773435889"/>
  </r>
  <r>
    <s v="190003693"/>
    <s v="Sampath Motors - Nittambuwa"/>
    <x v="4"/>
    <x v="4"/>
    <s v="4227303100"/>
    <d v="2024-10-30T00:00:00"/>
    <n v="10"/>
    <x v="1"/>
    <n v="6797"/>
    <n v="6797"/>
    <n v="20"/>
    <x v="3"/>
    <s v="773435889"/>
  </r>
  <r>
    <s v="190003693"/>
    <s v="Sampath Motors - Nittambuwa"/>
    <x v="4"/>
    <x v="4"/>
    <s v="4227303101"/>
    <d v="2024-10-30T00:00:00"/>
    <n v="10"/>
    <x v="1"/>
    <n v="18012"/>
    <n v="18012"/>
    <n v="20"/>
    <x v="3"/>
    <s v="773435889"/>
  </r>
  <r>
    <s v="190003693"/>
    <s v="Sampath Motors - Nittambuwa"/>
    <x v="4"/>
    <x v="4"/>
    <s v="4227303875"/>
    <d v="2024-10-31T00:00:00"/>
    <n v="10"/>
    <x v="1"/>
    <n v="110108"/>
    <n v="110108"/>
    <n v="19"/>
    <x v="3"/>
    <s v="773435889"/>
  </r>
  <r>
    <s v="190003694"/>
    <s v="Shan Lube Service - Gampaha"/>
    <x v="4"/>
    <x v="4"/>
    <s v="16-03-01956"/>
    <d v="2016-03-28T00:00:00"/>
    <n v="3"/>
    <x v="2"/>
    <n v="18600"/>
    <n v="18600"/>
    <n v="3158"/>
    <x v="1214"/>
    <s v="332288946"/>
  </r>
  <r>
    <s v="190003694"/>
    <s v="Shan Lube Service - Gampaha"/>
    <x v="4"/>
    <x v="4"/>
    <s v="16-03-01958"/>
    <d v="2016-03-28T00:00:00"/>
    <n v="3"/>
    <x v="2"/>
    <n v="6700"/>
    <n v="6700"/>
    <n v="3158"/>
    <x v="1215"/>
    <s v="332288946"/>
  </r>
  <r>
    <s v="190003694"/>
    <s v="Shan Lube Service - Gampaha"/>
    <x v="4"/>
    <x v="4"/>
    <s v="16-01-01371"/>
    <d v="2016-01-20T00:00:00"/>
    <n v="1"/>
    <x v="2"/>
    <n v="4500"/>
    <n v="4500"/>
    <n v="3226"/>
    <x v="460"/>
    <s v="332288946"/>
  </r>
  <r>
    <s v="190003694"/>
    <s v="Shan Lube Service - Gampaha"/>
    <x v="4"/>
    <x v="4"/>
    <s v="16-01-01372"/>
    <d v="2016-01-20T00:00:00"/>
    <n v="1"/>
    <x v="2"/>
    <n v="20700"/>
    <n v="20700"/>
    <n v="3226"/>
    <x v="584"/>
    <s v="332288946"/>
  </r>
  <r>
    <s v="190003694"/>
    <s v="Shan Lube Service - Gampaha"/>
    <x v="4"/>
    <x v="4"/>
    <s v="16-01-02209"/>
    <d v="2016-01-29T00:00:00"/>
    <n v="1"/>
    <x v="2"/>
    <n v="50500"/>
    <n v="50500"/>
    <n v="3217"/>
    <x v="1216"/>
    <s v="332288946"/>
  </r>
  <r>
    <s v="190003694"/>
    <s v="Shan Lube Service - Gampaha"/>
    <x v="4"/>
    <x v="4"/>
    <s v="4227002125"/>
    <d v="2016-05-31T00:00:00"/>
    <n v="5"/>
    <x v="2"/>
    <n v="52449"/>
    <n v="52449"/>
    <n v="3094"/>
    <x v="1217"/>
    <s v="332288946"/>
  </r>
  <r>
    <s v="190003863"/>
    <s v="Nikini Motors - Pallewela"/>
    <x v="4"/>
    <x v="4"/>
    <s v="4227291614"/>
    <d v="2024-08-10T00:00:00"/>
    <n v="8"/>
    <x v="1"/>
    <n v="11328"/>
    <n v="11328"/>
    <n v="101"/>
    <x v="449"/>
    <s v="773517064"/>
  </r>
  <r>
    <s v="190003863"/>
    <s v="Nikini Motors - Pallewela"/>
    <x v="4"/>
    <x v="4"/>
    <s v="4227299448"/>
    <d v="2024-10-04T00:00:00"/>
    <n v="10"/>
    <x v="1"/>
    <n v="8496"/>
    <n v="8496"/>
    <n v="46"/>
    <x v="3"/>
    <s v="773517064"/>
  </r>
  <r>
    <s v="190003998"/>
    <s v="E. C. Auto Electriclal"/>
    <x v="4"/>
    <x v="4"/>
    <s v="4227298882"/>
    <d v="2024-09-30T00:00:00"/>
    <n v="9"/>
    <x v="1"/>
    <n v="7788"/>
    <n v="7788"/>
    <n v="50"/>
    <x v="3"/>
    <s v="0767536484"/>
  </r>
  <r>
    <s v="190004543"/>
    <s v="Isuru Motor Stores"/>
    <x v="4"/>
    <x v="4"/>
    <s v="4227232271"/>
    <d v="2023-01-30T00:00:00"/>
    <n v="1"/>
    <x v="0"/>
    <n v="14118"/>
    <n v="6200"/>
    <n v="659"/>
    <x v="1218"/>
    <s v="715648370"/>
  </r>
  <r>
    <s v="190004543"/>
    <s v="Isuru Motor Stores"/>
    <x v="4"/>
    <x v="4"/>
    <s v="4227233850"/>
    <d v="2023-02-13T00:00:00"/>
    <n v="2"/>
    <x v="0"/>
    <n v="6814"/>
    <n v="6814"/>
    <n v="645"/>
    <x v="1219"/>
    <s v="715648370"/>
  </r>
  <r>
    <s v="190004543"/>
    <s v="Isuru Motor Stores"/>
    <x v="4"/>
    <x v="4"/>
    <s v="4227234572"/>
    <d v="2023-02-23T00:00:00"/>
    <n v="2"/>
    <x v="0"/>
    <n v="1104"/>
    <n v="1104"/>
    <n v="635"/>
    <x v="1220"/>
    <s v="715648370"/>
  </r>
  <r>
    <s v="190004603"/>
    <s v="Dias Automobile"/>
    <x v="4"/>
    <x v="4"/>
    <s v="409"/>
    <d v="2023-07-31T00:00:00"/>
    <n v="7"/>
    <x v="0"/>
    <n v="-817"/>
    <n v="-817"/>
    <n v="477"/>
    <x v="1221"/>
    <s v="771638354"/>
  </r>
  <r>
    <s v="190004603"/>
    <s v="Dias Automobile"/>
    <x v="4"/>
    <x v="4"/>
    <s v="4227250793"/>
    <d v="2023-08-16T00:00:00"/>
    <n v="8"/>
    <x v="0"/>
    <n v="19044"/>
    <n v="5544"/>
    <n v="461"/>
    <x v="1222"/>
    <s v="771638354"/>
  </r>
  <r>
    <s v="190004603"/>
    <s v="Dias Automobile"/>
    <x v="4"/>
    <x v="4"/>
    <s v="4227273563"/>
    <d v="2024-03-05T00:00:00"/>
    <n v="3"/>
    <x v="1"/>
    <n v="661"/>
    <n v="661"/>
    <n v="259"/>
    <x v="1223"/>
    <s v="771638354"/>
  </r>
  <r>
    <s v="190004603"/>
    <s v="Dias Automobile"/>
    <x v="4"/>
    <x v="4"/>
    <s v="4227275019"/>
    <d v="2024-03-19T00:00:00"/>
    <n v="3"/>
    <x v="1"/>
    <n v="9027"/>
    <n v="4651"/>
    <n v="245"/>
    <x v="1224"/>
    <s v="771638354"/>
  </r>
  <r>
    <s v="190004603"/>
    <s v="Dias Automobile"/>
    <x v="4"/>
    <x v="4"/>
    <s v="4227283596"/>
    <d v="2024-06-12T00:00:00"/>
    <n v="6"/>
    <x v="1"/>
    <n v="676"/>
    <n v="676"/>
    <n v="160"/>
    <x v="1162"/>
    <s v="771638354"/>
  </r>
  <r>
    <s v="190004619"/>
    <s v="Nation Three Auto Treat"/>
    <x v="4"/>
    <x v="4"/>
    <s v="234707/096229"/>
    <d v="2024-09-19T00:00:00"/>
    <n v="9"/>
    <x v="1"/>
    <n v="-12186"/>
    <n v="-12186"/>
    <n v="61"/>
    <x v="3"/>
    <s v="332282023"/>
  </r>
  <r>
    <s v="190004619"/>
    <s v="Nation Three Auto Treat"/>
    <x v="4"/>
    <x v="4"/>
    <s v="4227280200"/>
    <d v="2024-05-13T00:00:00"/>
    <n v="5"/>
    <x v="1"/>
    <n v="1075"/>
    <n v="1075"/>
    <n v="190"/>
    <x v="1225"/>
    <s v="332282023"/>
  </r>
  <r>
    <s v="190004619"/>
    <s v="Nation Three Auto Treat"/>
    <x v="4"/>
    <x v="4"/>
    <s v="4227282991"/>
    <d v="2024-06-06T00:00:00"/>
    <n v="6"/>
    <x v="1"/>
    <n v="510"/>
    <n v="510"/>
    <n v="166"/>
    <x v="1226"/>
    <s v="332282023"/>
  </r>
  <r>
    <s v="190004619"/>
    <s v="Nation Three Auto Treat"/>
    <x v="4"/>
    <x v="4"/>
    <s v="4227283456"/>
    <d v="2024-06-11T00:00:00"/>
    <n v="6"/>
    <x v="1"/>
    <n v="255"/>
    <n v="255"/>
    <n v="161"/>
    <x v="997"/>
    <s v="332282023"/>
  </r>
  <r>
    <s v="190004619"/>
    <s v="Nation Three Auto Treat"/>
    <x v="4"/>
    <x v="4"/>
    <s v="4227283595"/>
    <d v="2024-06-12T00:00:00"/>
    <n v="6"/>
    <x v="1"/>
    <n v="493"/>
    <n v="493"/>
    <n v="160"/>
    <x v="1227"/>
    <s v="332282023"/>
  </r>
  <r>
    <s v="190004619"/>
    <s v="Nation Three Auto Treat"/>
    <x v="4"/>
    <x v="4"/>
    <s v="4227287704"/>
    <d v="2024-07-17T00:00:00"/>
    <n v="7"/>
    <x v="1"/>
    <n v="11033"/>
    <n v="11033"/>
    <n v="125"/>
    <x v="1228"/>
    <s v="332282023"/>
  </r>
  <r>
    <s v="190004619"/>
    <s v="Nation Three Auto Treat"/>
    <x v="4"/>
    <x v="4"/>
    <s v="4227297104"/>
    <d v="2024-09-20T00:00:00"/>
    <n v="9"/>
    <x v="1"/>
    <n v="5664"/>
    <n v="5664"/>
    <n v="60"/>
    <x v="3"/>
    <s v="332282023"/>
  </r>
  <r>
    <s v="190004775"/>
    <s v="Motor Cycle Doctor ( Pvt ) Ltd"/>
    <x v="4"/>
    <x v="4"/>
    <s v="4227275745"/>
    <d v="2024-03-25T00:00:00"/>
    <n v="3"/>
    <x v="1"/>
    <n v="12980"/>
    <n v="12980"/>
    <n v="239"/>
    <x v="1229"/>
    <s v=""/>
  </r>
  <r>
    <s v="190004775"/>
    <s v="Motor Cycle Doctor ( Pvt ) Ltd"/>
    <x v="4"/>
    <x v="4"/>
    <s v="4227284568"/>
    <d v="2024-06-22T00:00:00"/>
    <n v="6"/>
    <x v="1"/>
    <n v="12980"/>
    <n v="12980"/>
    <n v="150"/>
    <x v="1229"/>
    <s v=""/>
  </r>
  <r>
    <s v="190004788"/>
    <s v="Sirini Auto Service Station (Pvt) L"/>
    <x v="4"/>
    <x v="4"/>
    <s v="4227281392"/>
    <d v="2024-05-22T00:00:00"/>
    <n v="5"/>
    <x v="1"/>
    <n v="9499"/>
    <n v="3"/>
    <n v="181"/>
    <x v="1230"/>
    <s v="332255215"/>
  </r>
  <r>
    <s v="190004788"/>
    <s v="Sirini Auto Service Station (Pvt) L"/>
    <x v="4"/>
    <x v="4"/>
    <s v="4227296927"/>
    <d v="2024-09-20T00:00:00"/>
    <n v="9"/>
    <x v="1"/>
    <n v="1075"/>
    <n v="1075"/>
    <n v="60"/>
    <x v="3"/>
    <s v="332255215"/>
  </r>
  <r>
    <s v="190004788"/>
    <s v="Sirini Auto Service Station (Pvt) L"/>
    <x v="4"/>
    <x v="4"/>
    <s v="4227297531"/>
    <d v="2024-09-25T00:00:00"/>
    <n v="9"/>
    <x v="1"/>
    <n v="1075"/>
    <n v="1075"/>
    <n v="55"/>
    <x v="3"/>
    <s v="332255215"/>
  </r>
  <r>
    <s v="190004798"/>
    <s v="Priyantha Auto Engineers - Weliweri"/>
    <x v="4"/>
    <x v="4"/>
    <s v="4227152735"/>
    <d v="2020-09-30T00:00:00"/>
    <n v="9"/>
    <x v="3"/>
    <n v="23693"/>
    <n v="23693"/>
    <n v="1511"/>
    <x v="1231"/>
    <s v="0779690749"/>
  </r>
  <r>
    <s v="190004806"/>
    <s v="Udara Motors"/>
    <x v="4"/>
    <x v="4"/>
    <s v="4227282088"/>
    <d v="2024-05-30T00:00:00"/>
    <n v="5"/>
    <x v="1"/>
    <n v="28620"/>
    <n v="4520"/>
    <n v="173"/>
    <x v="1232"/>
    <s v="777870445"/>
  </r>
  <r>
    <s v="190004859"/>
    <s v="Front Line Car Accessories"/>
    <x v="4"/>
    <x v="4"/>
    <s v="4227235239"/>
    <d v="2023-02-28T00:00:00"/>
    <n v="2"/>
    <x v="0"/>
    <n v="9770"/>
    <n v="9770"/>
    <n v="630"/>
    <x v="1233"/>
    <s v="332248700"/>
  </r>
  <r>
    <s v="190004861"/>
    <s v="High Tech Diesel Engineering"/>
    <x v="4"/>
    <x v="4"/>
    <s v="4227290751"/>
    <d v="2024-07-31T00:00:00"/>
    <n v="7"/>
    <x v="1"/>
    <n v="56640"/>
    <n v="11640"/>
    <n v="111"/>
    <x v="1234"/>
    <s v="777802276"/>
  </r>
  <r>
    <s v="190004861"/>
    <s v="High Tech Diesel Engineering"/>
    <x v="4"/>
    <x v="4"/>
    <s v="4227303112"/>
    <d v="2024-10-30T00:00:00"/>
    <n v="10"/>
    <x v="1"/>
    <n v="3403"/>
    <n v="3403"/>
    <n v="20"/>
    <x v="3"/>
    <s v="777802276"/>
  </r>
  <r>
    <s v="190004862"/>
    <s v="Janik Holdings (Pvt) Ltd"/>
    <x v="4"/>
    <x v="4"/>
    <s v="4227119488"/>
    <d v="2019-10-15T00:00:00"/>
    <n v="10"/>
    <x v="5"/>
    <n v="23000"/>
    <n v="23000"/>
    <n v="1862"/>
    <x v="1235"/>
    <s v="0778470002"/>
  </r>
  <r>
    <s v="190004864"/>
    <s v="Lahiru Enterprises"/>
    <x v="4"/>
    <x v="4"/>
    <s v="16-02-01649"/>
    <d v="2016-02-25T00:00:00"/>
    <n v="2"/>
    <x v="2"/>
    <n v="11820.25"/>
    <n v="1171.25"/>
    <n v="3190"/>
    <x v="1236"/>
    <s v="332294235"/>
  </r>
  <r>
    <s v="190004866"/>
    <s v="M. A. C. Technology"/>
    <x v="4"/>
    <x v="4"/>
    <s v="4227275884"/>
    <d v="2024-03-26T00:00:00"/>
    <n v="3"/>
    <x v="1"/>
    <n v="8042"/>
    <n v="32"/>
    <n v="238"/>
    <x v="1237"/>
    <s v="719112925"/>
  </r>
  <r>
    <s v="190004867"/>
    <s v="M. U. S Motors"/>
    <x v="4"/>
    <x v="4"/>
    <s v="4227280010"/>
    <d v="2024-05-10T00:00:00"/>
    <n v="5"/>
    <x v="1"/>
    <n v="64570"/>
    <n v="64570"/>
    <n v="193"/>
    <x v="31"/>
    <s v="770440790"/>
  </r>
  <r>
    <s v="190004868"/>
    <s v="Mass Pro Vehicle Service Center"/>
    <x v="4"/>
    <x v="4"/>
    <s v="4227005875"/>
    <d v="2016-07-16T00:00:00"/>
    <n v="7"/>
    <x v="2"/>
    <n v="11040"/>
    <n v="1663.44"/>
    <n v="3048"/>
    <x v="1238"/>
    <s v="332226666"/>
  </r>
  <r>
    <s v="190004868"/>
    <s v="Mass Pro Vehicle Service Center"/>
    <x v="4"/>
    <x v="4"/>
    <s v="4227006477"/>
    <d v="2016-07-25T00:00:00"/>
    <n v="7"/>
    <x v="2"/>
    <n v="7350"/>
    <n v="7350"/>
    <n v="3039"/>
    <x v="1239"/>
    <s v="332226666"/>
  </r>
  <r>
    <s v="190004868"/>
    <s v="Mass Pro Vehicle Service Center"/>
    <x v="4"/>
    <x v="4"/>
    <s v="4227052508"/>
    <d v="2018-01-19T00:00:00"/>
    <n v="1"/>
    <x v="2"/>
    <n v="1840"/>
    <n v="1840"/>
    <n v="2496"/>
    <x v="1240"/>
    <s v="332226666"/>
  </r>
  <r>
    <s v="190004868"/>
    <s v="Mass Pro Vehicle Service Center"/>
    <x v="4"/>
    <x v="4"/>
    <s v="4227294770"/>
    <d v="2024-08-31T00:00:00"/>
    <n v="8"/>
    <x v="1"/>
    <n v="6797"/>
    <n v="6797"/>
    <n v="80"/>
    <x v="3"/>
    <s v="332226666"/>
  </r>
  <r>
    <s v="190004868"/>
    <s v="Mass Pro Vehicle Service Center"/>
    <x v="4"/>
    <x v="4"/>
    <s v="4227298583"/>
    <d v="2024-09-30T00:00:00"/>
    <n v="9"/>
    <x v="1"/>
    <n v="6797"/>
    <n v="6797"/>
    <n v="50"/>
    <x v="3"/>
    <s v="332226666"/>
  </r>
  <r>
    <s v="190004869"/>
    <s v="Nalinda Motors"/>
    <x v="4"/>
    <x v="4"/>
    <s v="4227089430"/>
    <d v="2018-12-27T00:00:00"/>
    <n v="12"/>
    <x v="2"/>
    <n v="6682"/>
    <n v="1813"/>
    <n v="2154"/>
    <x v="405"/>
    <s v="07776939945"/>
  </r>
  <r>
    <s v="190004869"/>
    <s v="Nalinda Motors"/>
    <x v="4"/>
    <x v="4"/>
    <s v="4227237383"/>
    <d v="2023-03-27T00:00:00"/>
    <n v="3"/>
    <x v="0"/>
    <n v="24375"/>
    <n v="1175"/>
    <n v="603"/>
    <x v="1241"/>
    <s v="07776939945"/>
  </r>
  <r>
    <s v="190004871"/>
    <s v="The Auto Lab"/>
    <x v="4"/>
    <x v="4"/>
    <s v="4227027415"/>
    <d v="2017-03-31T00:00:00"/>
    <n v="3"/>
    <x v="2"/>
    <n v="26419"/>
    <n v="26419"/>
    <n v="2790"/>
    <x v="1242"/>
    <s v="332295887"/>
  </r>
  <r>
    <s v="190004871"/>
    <s v="The Auto Lab"/>
    <x v="4"/>
    <x v="4"/>
    <s v="4227027425"/>
    <d v="2017-03-31T00:00:00"/>
    <n v="3"/>
    <x v="2"/>
    <n v="23311"/>
    <n v="23311"/>
    <n v="2790"/>
    <x v="1243"/>
    <s v="332295887"/>
  </r>
  <r>
    <s v="190004871"/>
    <s v="The Auto Lab"/>
    <x v="4"/>
    <x v="4"/>
    <s v="4227027432"/>
    <d v="2017-03-31T00:00:00"/>
    <n v="3"/>
    <x v="2"/>
    <n v="15758"/>
    <n v="15758"/>
    <n v="2790"/>
    <x v="1244"/>
    <s v="332295887"/>
  </r>
  <r>
    <s v="190004886"/>
    <s v="Maya Paint &amp; Electricals"/>
    <x v="4"/>
    <x v="4"/>
    <s v="4227177683"/>
    <d v="2021-05-25T00:00:00"/>
    <n v="5"/>
    <x v="4"/>
    <n v="35613"/>
    <n v="10800"/>
    <n v="1274"/>
    <x v="1245"/>
    <s v="332232100"/>
  </r>
  <r>
    <s v="190004886"/>
    <s v="Maya Paint &amp; Electricals"/>
    <x v="4"/>
    <x v="4"/>
    <s v="4227293838"/>
    <d v="2024-08-27T00:00:00"/>
    <n v="8"/>
    <x v="1"/>
    <n v="22116"/>
    <n v="22116"/>
    <n v="84"/>
    <x v="3"/>
    <s v="332232100"/>
  </r>
  <r>
    <s v="190004886"/>
    <s v="Maya Paint &amp; Electricals"/>
    <x v="4"/>
    <x v="4"/>
    <s v="4227294932"/>
    <d v="2024-08-31T00:00:00"/>
    <n v="8"/>
    <x v="1"/>
    <n v="25842"/>
    <n v="25842"/>
    <n v="80"/>
    <x v="3"/>
    <s v="332232100"/>
  </r>
  <r>
    <s v="190004967"/>
    <s v="Nissanka Advertising"/>
    <x v="4"/>
    <x v="4"/>
    <s v="4227165450"/>
    <d v="2021-02-09T00:00:00"/>
    <n v="2"/>
    <x v="4"/>
    <n v="8748"/>
    <n v="8748"/>
    <n v="1379"/>
    <x v="1246"/>
    <s v="777971574"/>
  </r>
  <r>
    <s v="190004971"/>
    <s v="Asian Motors _ Thihariya"/>
    <x v="4"/>
    <x v="4"/>
    <s v="4227133352"/>
    <d v="2020-02-13T00:00:00"/>
    <n v="2"/>
    <x v="3"/>
    <n v="28620"/>
    <n v="432"/>
    <n v="1741"/>
    <x v="1247"/>
    <s v="773131184"/>
  </r>
  <r>
    <s v="190004971"/>
    <s v="Asian Motors _ Thihariya"/>
    <x v="4"/>
    <x v="4"/>
    <s v="4227134656"/>
    <d v="2020-02-24T00:00:00"/>
    <n v="2"/>
    <x v="3"/>
    <n v="29160"/>
    <n v="29160"/>
    <n v="1730"/>
    <x v="1248"/>
    <s v="773131184"/>
  </r>
  <r>
    <s v="190004971"/>
    <s v="Asian Motors _ Thihariya"/>
    <x v="4"/>
    <x v="4"/>
    <s v="4227134978"/>
    <d v="2020-02-26T00:00:00"/>
    <n v="2"/>
    <x v="3"/>
    <n v="15012"/>
    <n v="15012"/>
    <n v="1728"/>
    <x v="1249"/>
    <s v="773131184"/>
  </r>
  <r>
    <s v="190004982"/>
    <s v="Shanka Auto Tinkering &amp; Painting"/>
    <x v="4"/>
    <x v="4"/>
    <s v="4227178391"/>
    <d v="2021-06-11T00:00:00"/>
    <n v="6"/>
    <x v="4"/>
    <n v="6415"/>
    <n v="6415"/>
    <n v="1257"/>
    <x v="1250"/>
    <s v="713470665"/>
  </r>
  <r>
    <s v="190004984"/>
    <s v="Sri Lanka Motors"/>
    <x v="4"/>
    <x v="4"/>
    <s v="4227278504"/>
    <d v="2024-04-29T00:00:00"/>
    <n v="4"/>
    <x v="1"/>
    <n v="32285"/>
    <n v="32285"/>
    <n v="204"/>
    <x v="334"/>
    <s v=""/>
  </r>
  <r>
    <s v="190004984"/>
    <s v="Sri Lanka Motors"/>
    <x v="4"/>
    <x v="4"/>
    <s v="4227278506"/>
    <d v="2024-04-29T00:00:00"/>
    <n v="4"/>
    <x v="1"/>
    <n v="32285"/>
    <n v="32285"/>
    <n v="204"/>
    <x v="334"/>
    <s v=""/>
  </r>
  <r>
    <s v="190004984"/>
    <s v="Sri Lanka Motors"/>
    <x v="4"/>
    <x v="4"/>
    <s v="4227282243"/>
    <d v="2024-05-31T00:00:00"/>
    <n v="5"/>
    <x v="1"/>
    <n v="16499"/>
    <n v="16499"/>
    <n v="172"/>
    <x v="1251"/>
    <s v=""/>
  </r>
  <r>
    <s v="190004984"/>
    <s v="Sri Lanka Motors"/>
    <x v="4"/>
    <x v="4"/>
    <s v="4227286343"/>
    <d v="2024-07-04T00:00:00"/>
    <n v="7"/>
    <x v="1"/>
    <n v="24886"/>
    <n v="24886"/>
    <n v="138"/>
    <x v="954"/>
    <s v=""/>
  </r>
  <r>
    <s v="190004984"/>
    <s v="Sri Lanka Motors"/>
    <x v="4"/>
    <x v="4"/>
    <s v="4227286447"/>
    <d v="2024-07-05T00:00:00"/>
    <n v="7"/>
    <x v="1"/>
    <n v="24886"/>
    <n v="24886"/>
    <n v="137"/>
    <x v="954"/>
    <s v=""/>
  </r>
  <r>
    <s v="190004984"/>
    <s v="Sri Lanka Motors"/>
    <x v="4"/>
    <x v="4"/>
    <s v="4227287876"/>
    <d v="2024-07-18T00:00:00"/>
    <n v="7"/>
    <x v="1"/>
    <n v="16591"/>
    <n v="16591"/>
    <n v="124"/>
    <x v="1252"/>
    <s v=""/>
  </r>
  <r>
    <s v="190004984"/>
    <s v="Sri Lanka Motors"/>
    <x v="4"/>
    <x v="4"/>
    <s v="4227290174"/>
    <d v="2024-07-31T00:00:00"/>
    <n v="7"/>
    <x v="1"/>
    <n v="24886"/>
    <n v="24886"/>
    <n v="111"/>
    <x v="954"/>
    <s v=""/>
  </r>
  <r>
    <s v="190004984"/>
    <s v="Sri Lanka Motors"/>
    <x v="4"/>
    <x v="4"/>
    <s v="4227294504"/>
    <d v="2024-08-30T00:00:00"/>
    <n v="8"/>
    <x v="1"/>
    <n v="24886"/>
    <n v="24886"/>
    <n v="81"/>
    <x v="3"/>
    <s v=""/>
  </r>
  <r>
    <s v="190004984"/>
    <s v="Sri Lanka Motors"/>
    <x v="4"/>
    <x v="4"/>
    <s v="4227297216"/>
    <d v="2024-09-20T00:00:00"/>
    <n v="9"/>
    <x v="1"/>
    <n v="58068"/>
    <n v="58068"/>
    <n v="60"/>
    <x v="3"/>
    <s v=""/>
  </r>
  <r>
    <s v="190004984"/>
    <s v="Sri Lanka Motors"/>
    <x v="4"/>
    <x v="4"/>
    <s v="4227297217"/>
    <d v="2024-09-20T00:00:00"/>
    <n v="9"/>
    <x v="1"/>
    <n v="58068"/>
    <n v="58068"/>
    <n v="60"/>
    <x v="3"/>
    <s v=""/>
  </r>
  <r>
    <s v="190004984"/>
    <s v="Sri Lanka Motors"/>
    <x v="4"/>
    <x v="4"/>
    <s v="4227298118"/>
    <d v="2024-09-28T00:00:00"/>
    <n v="9"/>
    <x v="1"/>
    <n v="41477"/>
    <n v="41477"/>
    <n v="52"/>
    <x v="3"/>
    <s v=""/>
  </r>
  <r>
    <s v="190004984"/>
    <s v="Sri Lanka Motors"/>
    <x v="4"/>
    <x v="4"/>
    <s v="4227298119"/>
    <d v="2024-09-28T00:00:00"/>
    <n v="9"/>
    <x v="1"/>
    <n v="41477"/>
    <n v="41477"/>
    <n v="52"/>
    <x v="3"/>
    <s v=""/>
  </r>
  <r>
    <s v="190004984"/>
    <s v="Sri Lanka Motors"/>
    <x v="4"/>
    <x v="4"/>
    <s v="4227301720"/>
    <d v="2024-10-22T00:00:00"/>
    <n v="10"/>
    <x v="1"/>
    <n v="120000"/>
    <n v="120000"/>
    <n v="28"/>
    <x v="3"/>
    <s v=""/>
  </r>
  <r>
    <s v="190004984"/>
    <s v="Sri Lanka Motors"/>
    <x v="4"/>
    <x v="4"/>
    <s v="5227015962"/>
    <d v="2024-11-18T00:00:00"/>
    <n v="11"/>
    <x v="1"/>
    <n v="-32285"/>
    <n v="-32285"/>
    <n v="1"/>
    <x v="3"/>
    <s v=""/>
  </r>
  <r>
    <s v="190004984"/>
    <s v="Sri Lanka Motors"/>
    <x v="4"/>
    <x v="4"/>
    <s v="5227015963"/>
    <d v="2024-11-18T00:00:00"/>
    <n v="11"/>
    <x v="1"/>
    <n v="-32285"/>
    <n v="-32285"/>
    <n v="1"/>
    <x v="3"/>
    <s v=""/>
  </r>
  <r>
    <s v="190004985"/>
    <s v="The Car Care"/>
    <x v="4"/>
    <x v="4"/>
    <s v="4227200235"/>
    <d v="2022-01-21T00:00:00"/>
    <n v="1"/>
    <x v="6"/>
    <n v="5832"/>
    <n v="5832"/>
    <n v="1033"/>
    <x v="250"/>
    <s v="779596156"/>
  </r>
  <r>
    <s v="190005635"/>
    <s v="Sampath Motors"/>
    <x v="4"/>
    <x v="4"/>
    <s v="4227041229"/>
    <d v="2017-09-21T00:00:00"/>
    <n v="9"/>
    <x v="2"/>
    <n v="18262"/>
    <n v="1262"/>
    <n v="2616"/>
    <x v="1253"/>
    <s v="332269491"/>
  </r>
  <r>
    <s v="190005635"/>
    <s v="Sampath Motors"/>
    <x v="4"/>
    <x v="4"/>
    <s v="4227048174"/>
    <d v="2017-11-30T00:00:00"/>
    <n v="11"/>
    <x v="2"/>
    <n v="14594"/>
    <n v="14594"/>
    <n v="2546"/>
    <x v="1254"/>
    <s v="332269491"/>
  </r>
  <r>
    <s v="190005720"/>
    <s v="A Green Park Service Station"/>
    <x v="4"/>
    <x v="4"/>
    <s v="168721/049244"/>
    <d v="2022-01-01T00:00:00"/>
    <n v="1"/>
    <x v="6"/>
    <n v="-917"/>
    <n v="-917"/>
    <n v="1053"/>
    <x v="1255"/>
    <s v="0777 777746"/>
  </r>
  <r>
    <s v="190005720"/>
    <s v="A Green Park Service Station"/>
    <x v="4"/>
    <x v="4"/>
    <s v="196537 / 103813"/>
    <d v="2023-03-29T00:00:00"/>
    <n v="3"/>
    <x v="0"/>
    <n v="-27080"/>
    <n v="-6680"/>
    <n v="601"/>
    <x v="1256"/>
    <s v="0777 777746"/>
  </r>
  <r>
    <s v="190005720"/>
    <s v="A Green Park Service Station"/>
    <x v="4"/>
    <x v="4"/>
    <s v="178399/067912"/>
    <d v="2022-05-25T00:00:00"/>
    <n v="5"/>
    <x v="6"/>
    <n v="-7710"/>
    <n v="-7710"/>
    <n v="909"/>
    <x v="1257"/>
    <s v="0777 777746"/>
  </r>
  <r>
    <s v="190005720"/>
    <s v="A Green Park Service Station"/>
    <x v="4"/>
    <x v="4"/>
    <s v="NP/049212"/>
    <d v="2021-10-30T00:00:00"/>
    <n v="10"/>
    <x v="4"/>
    <n v="-8168.5"/>
    <n v="-8168.5"/>
    <n v="1116"/>
    <x v="1258"/>
    <s v="0777 777746"/>
  </r>
  <r>
    <s v="190005720"/>
    <s v="A Green Park Service Station"/>
    <x v="4"/>
    <x v="4"/>
    <s v="4227158814"/>
    <d v="2020-12-05T00:00:00"/>
    <n v="12"/>
    <x v="3"/>
    <n v="4298"/>
    <n v="4298"/>
    <n v="1445"/>
    <x v="1259"/>
    <s v="0777 777746"/>
  </r>
  <r>
    <s v="190005720"/>
    <s v="A Green Park Service Station"/>
    <x v="4"/>
    <x v="4"/>
    <s v="4227164098"/>
    <d v="2021-01-29T00:00:00"/>
    <n v="1"/>
    <x v="4"/>
    <n v="31320"/>
    <n v="5724"/>
    <n v="1390"/>
    <x v="1260"/>
    <s v="0777 777746"/>
  </r>
  <r>
    <s v="190005720"/>
    <s v="A Green Park Service Station"/>
    <x v="4"/>
    <x v="4"/>
    <s v="4227168108"/>
    <d v="2021-02-27T00:00:00"/>
    <n v="2"/>
    <x v="4"/>
    <n v="60606"/>
    <n v="8261"/>
    <n v="1361"/>
    <x v="1261"/>
    <s v="0777 777746"/>
  </r>
  <r>
    <s v="190005720"/>
    <s v="A Green Park Service Station"/>
    <x v="4"/>
    <x v="4"/>
    <s v="4227179661"/>
    <d v="2021-07-02T00:00:00"/>
    <n v="7"/>
    <x v="4"/>
    <n v="91419"/>
    <n v="4578"/>
    <n v="1236"/>
    <x v="1262"/>
    <s v="0777 777746"/>
  </r>
  <r>
    <s v="190005720"/>
    <s v="A Green Park Service Station"/>
    <x v="4"/>
    <x v="4"/>
    <s v="4227186898"/>
    <d v="2021-09-28T00:00:00"/>
    <n v="9"/>
    <x v="4"/>
    <n v="11405"/>
    <n v="11405"/>
    <n v="1148"/>
    <x v="1263"/>
    <s v="0777 777746"/>
  </r>
  <r>
    <s v="190005720"/>
    <s v="A Green Park Service Station"/>
    <x v="4"/>
    <x v="4"/>
    <s v="4227190124"/>
    <d v="2021-10-27T00:00:00"/>
    <n v="10"/>
    <x v="4"/>
    <n v="11664"/>
    <n v="3896.45"/>
    <n v="1119"/>
    <x v="1264"/>
    <s v="0777 777746"/>
  </r>
  <r>
    <s v="190005720"/>
    <s v="A Green Park Service Station"/>
    <x v="4"/>
    <x v="4"/>
    <s v="4227194340"/>
    <d v="2021-11-30T00:00:00"/>
    <n v="11"/>
    <x v="4"/>
    <n v="8102"/>
    <n v="8102"/>
    <n v="1085"/>
    <x v="1265"/>
    <s v="0777 777746"/>
  </r>
  <r>
    <s v="190005720"/>
    <s v="A Green Park Service Station"/>
    <x v="4"/>
    <x v="4"/>
    <s v="4227197575"/>
    <d v="2021-12-30T00:00:00"/>
    <n v="12"/>
    <x v="4"/>
    <n v="8566"/>
    <n v="6100"/>
    <n v="1055"/>
    <x v="1266"/>
    <s v="0777 777746"/>
  </r>
  <r>
    <s v="190005720"/>
    <s v="A Green Park Service Station"/>
    <x v="4"/>
    <x v="4"/>
    <s v="4227200351"/>
    <d v="2022-01-22T00:00:00"/>
    <n v="1"/>
    <x v="6"/>
    <n v="21203"/>
    <n v="21203"/>
    <n v="1032"/>
    <x v="1267"/>
    <s v="0777 777746"/>
  </r>
  <r>
    <s v="190005720"/>
    <s v="A Green Park Service Station"/>
    <x v="4"/>
    <x v="4"/>
    <s v="4227201511"/>
    <d v="2022-01-31T00:00:00"/>
    <n v="1"/>
    <x v="6"/>
    <n v="28447"/>
    <n v="8147"/>
    <n v="1023"/>
    <x v="1268"/>
    <s v="0777 777746"/>
  </r>
  <r>
    <s v="190005720"/>
    <s v="A Green Park Service Station"/>
    <x v="4"/>
    <x v="4"/>
    <s v="4227210655"/>
    <d v="2022-04-29T00:00:00"/>
    <n v="4"/>
    <x v="6"/>
    <n v="17685"/>
    <n v="17685"/>
    <n v="935"/>
    <x v="1269"/>
    <s v="0777 777746"/>
  </r>
  <r>
    <s v="190005720"/>
    <s v="A Green Park Service Station"/>
    <x v="4"/>
    <x v="4"/>
    <s v="4227213613"/>
    <d v="2022-06-13T00:00:00"/>
    <n v="6"/>
    <x v="6"/>
    <n v="36960"/>
    <n v="2979.25"/>
    <n v="890"/>
    <x v="1270"/>
    <s v="0777 777746"/>
  </r>
  <r>
    <s v="190005720"/>
    <s v="A Green Park Service Station"/>
    <x v="4"/>
    <x v="4"/>
    <s v="4227214818"/>
    <d v="2022-06-30T00:00:00"/>
    <n v="6"/>
    <x v="6"/>
    <n v="36708"/>
    <n v="5762.7"/>
    <n v="873"/>
    <x v="1271"/>
    <s v="0777 777746"/>
  </r>
  <r>
    <s v="190005720"/>
    <s v="A Green Park Service Station"/>
    <x v="4"/>
    <x v="4"/>
    <s v="4227215284"/>
    <d v="2022-07-08T00:00:00"/>
    <n v="7"/>
    <x v="6"/>
    <n v="9912"/>
    <n v="495.6"/>
    <n v="865"/>
    <x v="1272"/>
    <s v="0777 777746"/>
  </r>
  <r>
    <s v="190005720"/>
    <s v="A Green Park Service Station"/>
    <x v="4"/>
    <x v="4"/>
    <s v="4227218708"/>
    <d v="2022-08-30T00:00:00"/>
    <n v="8"/>
    <x v="6"/>
    <n v="18704"/>
    <n v="11536.8"/>
    <n v="812"/>
    <x v="1273"/>
    <s v="0777 777746"/>
  </r>
  <r>
    <s v="190005720"/>
    <s v="A Green Park Service Station"/>
    <x v="4"/>
    <x v="4"/>
    <s v="4227221930"/>
    <d v="2022-09-30T00:00:00"/>
    <n v="9"/>
    <x v="6"/>
    <n v="75038"/>
    <n v="10161"/>
    <n v="781"/>
    <x v="1274"/>
    <s v="0777 777746"/>
  </r>
  <r>
    <s v="190005720"/>
    <s v="A Green Park Service Station"/>
    <x v="4"/>
    <x v="4"/>
    <s v="4227224410"/>
    <d v="2022-10-31T00:00:00"/>
    <n v="10"/>
    <x v="6"/>
    <n v="103500"/>
    <n v="12320"/>
    <n v="750"/>
    <x v="1275"/>
    <s v="0777 777746"/>
  </r>
  <r>
    <s v="190005720"/>
    <s v="A Green Park Service Station"/>
    <x v="4"/>
    <x v="4"/>
    <s v="4227234983"/>
    <d v="2023-02-28T00:00:00"/>
    <n v="2"/>
    <x v="0"/>
    <n v="157182"/>
    <n v="22000"/>
    <n v="630"/>
    <x v="1276"/>
    <s v="0777 777746"/>
  </r>
  <r>
    <s v="190005720"/>
    <s v="A Green Park Service Station"/>
    <x v="4"/>
    <x v="4"/>
    <s v="4227242479"/>
    <d v="2023-05-25T00:00:00"/>
    <n v="5"/>
    <x v="0"/>
    <n v="11385"/>
    <n v="11385"/>
    <n v="544"/>
    <x v="1277"/>
    <s v="0777 777746"/>
  </r>
  <r>
    <s v="190005720"/>
    <s v="A Green Park Service Station"/>
    <x v="4"/>
    <x v="4"/>
    <s v="4227246355"/>
    <d v="2023-07-04T00:00:00"/>
    <n v="7"/>
    <x v="0"/>
    <n v="4658"/>
    <n v="709.3"/>
    <n v="504"/>
    <x v="1278"/>
    <s v="0777 777746"/>
  </r>
  <r>
    <s v="190005720"/>
    <s v="A Green Park Service Station"/>
    <x v="4"/>
    <x v="4"/>
    <s v="4227247571"/>
    <d v="2023-07-14T00:00:00"/>
    <n v="7"/>
    <x v="0"/>
    <n v="3648"/>
    <n v="3648"/>
    <n v="494"/>
    <x v="1279"/>
    <s v="0777 777746"/>
  </r>
  <r>
    <s v="190005720"/>
    <s v="A Green Park Service Station"/>
    <x v="4"/>
    <x v="4"/>
    <s v="4227247702"/>
    <d v="2023-07-17T00:00:00"/>
    <n v="7"/>
    <x v="0"/>
    <n v="6210"/>
    <n v="6210"/>
    <n v="491"/>
    <x v="1280"/>
    <s v="0777 777746"/>
  </r>
  <r>
    <s v="190005720"/>
    <s v="A Green Park Service Station"/>
    <x v="4"/>
    <x v="4"/>
    <s v="4227259996"/>
    <d v="2023-10-31T00:00:00"/>
    <n v="10"/>
    <x v="0"/>
    <n v="70392"/>
    <n v="4826"/>
    <n v="385"/>
    <x v="1281"/>
    <s v="0777 777746"/>
  </r>
  <r>
    <s v="190005720"/>
    <s v="A Green Park Service Station"/>
    <x v="4"/>
    <x v="4"/>
    <s v="4227263302"/>
    <d v="2023-11-30T00:00:00"/>
    <n v="11"/>
    <x v="0"/>
    <n v="111780"/>
    <n v="34534"/>
    <n v="355"/>
    <x v="1282"/>
    <s v="0777 777746"/>
  </r>
  <r>
    <s v="190005720"/>
    <s v="A Green Park Service Station"/>
    <x v="4"/>
    <x v="4"/>
    <s v="4227264058"/>
    <d v="2023-12-08T00:00:00"/>
    <n v="12"/>
    <x v="0"/>
    <n v="3824"/>
    <n v="3824"/>
    <n v="347"/>
    <x v="1283"/>
    <s v="0777 777746"/>
  </r>
  <r>
    <s v="190005720"/>
    <s v="A Green Park Service Station"/>
    <x v="4"/>
    <x v="4"/>
    <s v="4227272974"/>
    <d v="2024-02-29T00:00:00"/>
    <n v="2"/>
    <x v="1"/>
    <n v="46707"/>
    <n v="17705"/>
    <n v="264"/>
    <x v="1284"/>
    <s v="0777 777746"/>
  </r>
  <r>
    <s v="190005720"/>
    <s v="A Green Park Service Station"/>
    <x v="4"/>
    <x v="4"/>
    <s v="4227276665"/>
    <d v="2024-03-28T00:00:00"/>
    <n v="3"/>
    <x v="1"/>
    <n v="39825"/>
    <n v="4973"/>
    <n v="236"/>
    <x v="1285"/>
    <s v="0777 777746"/>
  </r>
  <r>
    <s v="190005720"/>
    <s v="A Green Park Service Station"/>
    <x v="4"/>
    <x v="4"/>
    <s v="4227278831"/>
    <d v="2024-04-30T00:00:00"/>
    <n v="4"/>
    <x v="1"/>
    <n v="75668"/>
    <n v="10793"/>
    <n v="203"/>
    <x v="1286"/>
    <s v="0777 777746"/>
  </r>
  <r>
    <s v="190005720"/>
    <s v="A Green Park Service Station"/>
    <x v="4"/>
    <x v="4"/>
    <s v="4227298045"/>
    <d v="2024-09-27T00:00:00"/>
    <n v="9"/>
    <x v="1"/>
    <n v="26432"/>
    <n v="26432"/>
    <n v="53"/>
    <x v="3"/>
    <s v="0777 777746"/>
  </r>
  <r>
    <s v="190005720"/>
    <s v="A Green Park Service Station"/>
    <x v="4"/>
    <x v="4"/>
    <s v="4227298046"/>
    <d v="2024-09-27T00:00:00"/>
    <n v="9"/>
    <x v="1"/>
    <n v="49772"/>
    <n v="49772"/>
    <n v="53"/>
    <x v="3"/>
    <s v="0777 777746"/>
  </r>
  <r>
    <s v="190005720"/>
    <s v="A Green Park Service Station"/>
    <x v="4"/>
    <x v="4"/>
    <s v="4227298047"/>
    <d v="2024-09-27T00:00:00"/>
    <n v="9"/>
    <x v="1"/>
    <n v="104784"/>
    <n v="104784"/>
    <n v="53"/>
    <x v="3"/>
    <s v="0777 777746"/>
  </r>
  <r>
    <s v="190005720"/>
    <s v="A Green Park Service Station"/>
    <x v="4"/>
    <x v="4"/>
    <s v="4227298048"/>
    <d v="2024-09-27T00:00:00"/>
    <n v="9"/>
    <x v="1"/>
    <n v="32285"/>
    <n v="32285"/>
    <n v="53"/>
    <x v="3"/>
    <s v="0777 777746"/>
  </r>
  <r>
    <s v="190005720"/>
    <s v="A Green Park Service Station"/>
    <x v="4"/>
    <x v="4"/>
    <s v="4227298049"/>
    <d v="2024-09-27T00:00:00"/>
    <n v="9"/>
    <x v="1"/>
    <n v="28320"/>
    <n v="28320"/>
    <n v="53"/>
    <x v="3"/>
    <s v="0777 777746"/>
  </r>
  <r>
    <s v="190005720"/>
    <s v="A Green Park Service Station"/>
    <x v="4"/>
    <x v="4"/>
    <s v="4227298603"/>
    <d v="2024-09-30T00:00:00"/>
    <n v="9"/>
    <x v="1"/>
    <n v="31152"/>
    <n v="31152"/>
    <n v="50"/>
    <x v="3"/>
    <s v="0777 777746"/>
  </r>
  <r>
    <s v="190005720"/>
    <s v="A Green Park Service Station"/>
    <x v="4"/>
    <x v="4"/>
    <s v="4227298604"/>
    <d v="2024-09-30T00:00:00"/>
    <n v="9"/>
    <x v="1"/>
    <n v="17464"/>
    <n v="17464"/>
    <n v="50"/>
    <x v="3"/>
    <s v="0777 777746"/>
  </r>
  <r>
    <s v="190005720"/>
    <s v="A Green Park Service Station"/>
    <x v="4"/>
    <x v="4"/>
    <s v="4227298605"/>
    <d v="2024-09-30T00:00:00"/>
    <n v="9"/>
    <x v="1"/>
    <n v="17464"/>
    <n v="17464"/>
    <n v="50"/>
    <x v="3"/>
    <s v="0777 777746"/>
  </r>
  <r>
    <s v="190005720"/>
    <s v="A Green Park Service Station"/>
    <x v="4"/>
    <x v="4"/>
    <s v="4227298606"/>
    <d v="2024-09-30T00:00:00"/>
    <n v="9"/>
    <x v="1"/>
    <n v="45123"/>
    <n v="45123"/>
    <n v="50"/>
    <x v="3"/>
    <s v="0777 777746"/>
  </r>
  <r>
    <s v="190005720"/>
    <s v="A Green Park Service Station"/>
    <x v="4"/>
    <x v="4"/>
    <s v="4227301095"/>
    <d v="2024-10-18T00:00:00"/>
    <n v="10"/>
    <x v="1"/>
    <n v="35400"/>
    <n v="35400"/>
    <n v="32"/>
    <x v="3"/>
    <s v="0777 777746"/>
  </r>
  <r>
    <s v="190005720"/>
    <s v="A Green Park Service Station"/>
    <x v="4"/>
    <x v="4"/>
    <s v="4227301096"/>
    <d v="2024-10-18T00:00:00"/>
    <n v="10"/>
    <x v="1"/>
    <n v="55224"/>
    <n v="55224"/>
    <n v="32"/>
    <x v="3"/>
    <s v="0777 777746"/>
  </r>
  <r>
    <s v="190005720"/>
    <s v="A Green Park Service Station"/>
    <x v="4"/>
    <x v="4"/>
    <s v="4227301097"/>
    <d v="2024-10-18T00:00:00"/>
    <n v="10"/>
    <x v="1"/>
    <n v="47082"/>
    <n v="47082"/>
    <n v="32"/>
    <x v="3"/>
    <s v="0777 777746"/>
  </r>
  <r>
    <s v="190005720"/>
    <s v="A Green Park Service Station"/>
    <x v="4"/>
    <x v="4"/>
    <s v="4227301098"/>
    <d v="2024-10-18T00:00:00"/>
    <n v="10"/>
    <x v="1"/>
    <n v="35400"/>
    <n v="35400"/>
    <n v="32"/>
    <x v="3"/>
    <s v="0777 777746"/>
  </r>
  <r>
    <s v="190005720"/>
    <s v="A Green Park Service Station"/>
    <x v="4"/>
    <x v="4"/>
    <s v="4227301099"/>
    <d v="2024-10-18T00:00:00"/>
    <n v="10"/>
    <x v="1"/>
    <n v="17997"/>
    <n v="17997"/>
    <n v="32"/>
    <x v="3"/>
    <s v="0777 777746"/>
  </r>
  <r>
    <s v="190005720"/>
    <s v="A Green Park Service Station"/>
    <x v="4"/>
    <x v="4"/>
    <s v="4227301603"/>
    <d v="2024-10-21T00:00:00"/>
    <n v="10"/>
    <x v="1"/>
    <n v="56758"/>
    <n v="56758"/>
    <n v="29"/>
    <x v="3"/>
    <s v="0777 777746"/>
  </r>
  <r>
    <s v="190005720"/>
    <s v="A Green Park Service Station"/>
    <x v="4"/>
    <x v="4"/>
    <s v="4227301797"/>
    <d v="2024-10-22T00:00:00"/>
    <n v="10"/>
    <x v="1"/>
    <n v="26196"/>
    <n v="26196"/>
    <n v="28"/>
    <x v="3"/>
    <s v="0777 777746"/>
  </r>
  <r>
    <s v="190005720"/>
    <s v="A Green Park Service Station"/>
    <x v="4"/>
    <x v="4"/>
    <s v="4227301798"/>
    <d v="2024-10-22T00:00:00"/>
    <n v="10"/>
    <x v="1"/>
    <n v="16107"/>
    <n v="16107"/>
    <n v="28"/>
    <x v="3"/>
    <s v="0777 777746"/>
  </r>
  <r>
    <s v="190005720"/>
    <s v="A Green Park Service Station"/>
    <x v="4"/>
    <x v="4"/>
    <s v="4227303919"/>
    <d v="2024-10-31T00:00:00"/>
    <n v="10"/>
    <x v="1"/>
    <n v="31742"/>
    <n v="31742"/>
    <n v="19"/>
    <x v="3"/>
    <s v="0777 777746"/>
  </r>
  <r>
    <s v="190005828"/>
    <s v="Wijayakith Auto Engineering"/>
    <x v="4"/>
    <x v="4"/>
    <s v="4227304472"/>
    <d v="2024-10-31T00:00:00"/>
    <n v="10"/>
    <x v="1"/>
    <n v="44303"/>
    <n v="44303"/>
    <n v="19"/>
    <x v="3"/>
    <s v="0777 172828"/>
  </r>
  <r>
    <s v="190006196"/>
    <s v="M.G.Medicals (Pvt)Ltd"/>
    <x v="4"/>
    <x v="4"/>
    <s v="4227012336"/>
    <d v="2016-09-29T00:00:00"/>
    <n v="9"/>
    <x v="2"/>
    <n v="34800"/>
    <n v="8400"/>
    <n v="2973"/>
    <x v="1287"/>
    <s v=""/>
  </r>
  <r>
    <s v="190006362"/>
    <s v="G. M. Motors"/>
    <x v="4"/>
    <x v="4"/>
    <s v="4227183970"/>
    <d v="2021-08-13T00:00:00"/>
    <n v="8"/>
    <x v="4"/>
    <n v="30240"/>
    <n v="5000"/>
    <n v="1194"/>
    <x v="493"/>
    <s v="0778396256"/>
  </r>
  <r>
    <s v="190006415"/>
    <s v="Premasinghe Motors -Paint"/>
    <x v="4"/>
    <x v="4"/>
    <s v="4227276404"/>
    <d v="2024-03-28T00:00:00"/>
    <n v="3"/>
    <x v="1"/>
    <n v="12390"/>
    <n v="12390"/>
    <n v="236"/>
    <x v="912"/>
    <s v="0776059394"/>
  </r>
  <r>
    <s v="190006446"/>
    <s v="Wijewardana (Pvt) Ltd"/>
    <x v="4"/>
    <x v="4"/>
    <s v="4227029677"/>
    <d v="2017-05-06T00:00:00"/>
    <n v="5"/>
    <x v="2"/>
    <n v="12161"/>
    <n v="12161"/>
    <n v="2754"/>
    <x v="1288"/>
    <s v="033 3330287"/>
  </r>
  <r>
    <s v="190006446"/>
    <s v="Wijewardana (Pvt) Ltd"/>
    <x v="4"/>
    <x v="4"/>
    <s v="4227031472"/>
    <d v="2017-05-29T00:00:00"/>
    <n v="5"/>
    <x v="2"/>
    <n v="11396"/>
    <n v="11396"/>
    <n v="2731"/>
    <x v="1289"/>
    <s v="033 3330287"/>
  </r>
  <r>
    <s v="190006461"/>
    <s v="Sirimanna Garage"/>
    <x v="4"/>
    <x v="4"/>
    <s v="4227020761"/>
    <d v="2017-01-18T00:00:00"/>
    <n v="1"/>
    <x v="2"/>
    <n v="725"/>
    <n v="725"/>
    <n v="2862"/>
    <x v="1290"/>
    <s v=""/>
  </r>
  <r>
    <s v="190006472"/>
    <s v="Z.A.Motor House"/>
    <x v="4"/>
    <x v="4"/>
    <s v="189119/658604"/>
    <d v="2022-10-27T00:00:00"/>
    <n v="10"/>
    <x v="6"/>
    <n v="-7811"/>
    <n v="-7811"/>
    <n v="754"/>
    <x v="1291"/>
    <s v="0332298040"/>
  </r>
  <r>
    <s v="190006477"/>
    <s v="Dias Garage"/>
    <x v="4"/>
    <x v="4"/>
    <s v="4227290754"/>
    <d v="2024-07-31T00:00:00"/>
    <n v="7"/>
    <x v="1"/>
    <n v="33984"/>
    <n v="23984"/>
    <n v="111"/>
    <x v="1292"/>
    <s v="0773690888"/>
  </r>
  <r>
    <s v="190006564"/>
    <s v="Auto C.S.Car Care Center"/>
    <x v="4"/>
    <x v="4"/>
    <s v="4227221773"/>
    <d v="2022-09-30T00:00:00"/>
    <n v="9"/>
    <x v="6"/>
    <n v="62531"/>
    <n v="62531"/>
    <n v="781"/>
    <x v="1293"/>
    <s v=""/>
  </r>
  <r>
    <s v="190006620"/>
    <s v="Liyanage Auto Service"/>
    <x v="4"/>
    <x v="4"/>
    <s v="4227303676"/>
    <d v="2024-10-31T00:00:00"/>
    <n v="10"/>
    <x v="1"/>
    <n v="99545"/>
    <n v="99545"/>
    <n v="19"/>
    <x v="3"/>
    <s v="077 3994952"/>
  </r>
  <r>
    <s v="190006662"/>
    <s v="Boby Lanka Motors"/>
    <x v="4"/>
    <x v="4"/>
    <s v="228397 / 803638"/>
    <d v="2024-09-30T00:00:00"/>
    <n v="9"/>
    <x v="1"/>
    <n v="-40948"/>
    <n v="-40948"/>
    <n v="50"/>
    <x v="3"/>
    <s v="0768267531"/>
  </r>
  <r>
    <s v="190006662"/>
    <s v="Boby Lanka Motors"/>
    <x v="4"/>
    <x v="4"/>
    <s v="4227252169"/>
    <d v="2023-08-29T00:00:00"/>
    <n v="8"/>
    <x v="0"/>
    <n v="15568"/>
    <n v="300"/>
    <n v="448"/>
    <x v="1294"/>
    <s v="0768267531"/>
  </r>
  <r>
    <s v="190006662"/>
    <s v="Boby Lanka Motors"/>
    <x v="4"/>
    <x v="4"/>
    <s v="4227271708"/>
    <d v="2024-02-20T00:00:00"/>
    <n v="2"/>
    <x v="1"/>
    <n v="254763"/>
    <n v="156912"/>
    <n v="273"/>
    <x v="1295"/>
    <s v="0768267531"/>
  </r>
  <r>
    <s v="190006662"/>
    <s v="Boby Lanka Motors"/>
    <x v="4"/>
    <x v="4"/>
    <s v="4227298607"/>
    <d v="2024-09-30T00:00:00"/>
    <n v="9"/>
    <x v="1"/>
    <n v="11045"/>
    <n v="11045"/>
    <n v="50"/>
    <x v="3"/>
    <s v="0768267531"/>
  </r>
  <r>
    <s v="190006662"/>
    <s v="Boby Lanka Motors"/>
    <x v="4"/>
    <x v="4"/>
    <s v="4227298608"/>
    <d v="2024-09-30T00:00:00"/>
    <n v="9"/>
    <x v="1"/>
    <n v="16591"/>
    <n v="16591"/>
    <n v="50"/>
    <x v="3"/>
    <s v="0768267531"/>
  </r>
  <r>
    <s v="190006662"/>
    <s v="Boby Lanka Motors"/>
    <x v="4"/>
    <x v="4"/>
    <s v="4227298609"/>
    <d v="2024-09-30T00:00:00"/>
    <n v="9"/>
    <x v="1"/>
    <n v="6203"/>
    <n v="6203"/>
    <n v="50"/>
    <x v="3"/>
    <s v="0768267531"/>
  </r>
  <r>
    <s v="190006662"/>
    <s v="Boby Lanka Motors"/>
    <x v="4"/>
    <x v="4"/>
    <s v="4227304483"/>
    <d v="2024-10-31T00:00:00"/>
    <n v="10"/>
    <x v="1"/>
    <n v="50466"/>
    <n v="50466"/>
    <n v="19"/>
    <x v="3"/>
    <s v="0768267531"/>
  </r>
  <r>
    <s v="190006662"/>
    <s v="Boby Lanka Motors"/>
    <x v="4"/>
    <x v="4"/>
    <s v="5227015964"/>
    <d v="2024-11-18T00:00:00"/>
    <n v="11"/>
    <x v="1"/>
    <n v="-194123"/>
    <n v="-194123"/>
    <n v="1"/>
    <x v="3"/>
    <s v="0768267531"/>
  </r>
  <r>
    <s v="190006669"/>
    <s v="Unity Car Service Centre"/>
    <x v="4"/>
    <x v="4"/>
    <s v="4227296063"/>
    <d v="2024-09-11T00:00:00"/>
    <n v="9"/>
    <x v="1"/>
    <n v="10573"/>
    <n v="10573"/>
    <n v="69"/>
    <x v="3"/>
    <s v="077 4040932"/>
  </r>
  <r>
    <s v="190006733"/>
    <s v="Laugfs Car Care"/>
    <x v="4"/>
    <x v="4"/>
    <s v="4227069385"/>
    <d v="2018-06-28T00:00:00"/>
    <n v="6"/>
    <x v="2"/>
    <n v="2507"/>
    <n v="2507"/>
    <n v="2336"/>
    <x v="1296"/>
    <s v="0115972790"/>
  </r>
  <r>
    <s v="190006733"/>
    <s v="Laugfs Car Care"/>
    <x v="4"/>
    <x v="4"/>
    <s v="4227149344"/>
    <d v="2020-09-07T00:00:00"/>
    <n v="9"/>
    <x v="3"/>
    <n v="22369"/>
    <n v="18570"/>
    <n v="1534"/>
    <x v="1297"/>
    <s v="0115972790"/>
  </r>
  <r>
    <s v="190006733"/>
    <s v="Laugfs Car Care"/>
    <x v="4"/>
    <x v="4"/>
    <s v="4227163671"/>
    <d v="2021-01-25T00:00:00"/>
    <n v="1"/>
    <x v="4"/>
    <n v="129470"/>
    <n v="3110"/>
    <n v="1394"/>
    <x v="1298"/>
    <s v="0115972790"/>
  </r>
  <r>
    <s v="190006733"/>
    <s v="Laugfs Car Care"/>
    <x v="4"/>
    <x v="4"/>
    <s v="4227164933"/>
    <d v="2021-02-03T00:00:00"/>
    <n v="2"/>
    <x v="4"/>
    <n v="48138"/>
    <n v="12952"/>
    <n v="1385"/>
    <x v="1299"/>
    <s v="0115972790"/>
  </r>
  <r>
    <s v="190006733"/>
    <s v="Laugfs Car Care"/>
    <x v="4"/>
    <x v="4"/>
    <s v="4227245198"/>
    <d v="2023-06-23T00:00:00"/>
    <n v="6"/>
    <x v="0"/>
    <n v="1863"/>
    <n v="1863"/>
    <n v="515"/>
    <x v="1300"/>
    <s v="0115972790"/>
  </r>
  <r>
    <s v="190006733"/>
    <s v="Laugfs Car Care"/>
    <x v="4"/>
    <x v="4"/>
    <s v="4227298610"/>
    <d v="2024-09-30T00:00:00"/>
    <n v="9"/>
    <x v="1"/>
    <n v="148603"/>
    <n v="107126"/>
    <n v="50"/>
    <x v="3"/>
    <s v="0115972790"/>
  </r>
  <r>
    <s v="190006733"/>
    <s v="Laugfs Car Care"/>
    <x v="4"/>
    <x v="4"/>
    <s v="4227298611"/>
    <d v="2024-09-30T00:00:00"/>
    <n v="9"/>
    <x v="1"/>
    <n v="82619"/>
    <n v="82619"/>
    <n v="50"/>
    <x v="3"/>
    <s v="0115972790"/>
  </r>
  <r>
    <s v="190006733"/>
    <s v="Laugfs Car Care"/>
    <x v="4"/>
    <x v="4"/>
    <s v="4227299231"/>
    <d v="2024-10-03T00:00:00"/>
    <n v="10"/>
    <x v="1"/>
    <n v="8850"/>
    <n v="8850"/>
    <n v="47"/>
    <x v="3"/>
    <s v="0115972790"/>
  </r>
  <r>
    <s v="190006733"/>
    <s v="Laugfs Car Care"/>
    <x v="4"/>
    <x v="4"/>
    <s v="4227299406"/>
    <d v="2024-10-04T00:00:00"/>
    <n v="10"/>
    <x v="1"/>
    <n v="16520"/>
    <n v="16520"/>
    <n v="46"/>
    <x v="3"/>
    <s v="0115972790"/>
  </r>
  <r>
    <s v="190006778"/>
    <s v="Dekatana Hoist Service"/>
    <x v="4"/>
    <x v="4"/>
    <s v="222645 / 707178"/>
    <d v="2024-05-31T00:00:00"/>
    <n v="5"/>
    <x v="1"/>
    <n v="-400"/>
    <n v="-400"/>
    <n v="172"/>
    <x v="1301"/>
    <s v="071 1741516"/>
  </r>
  <r>
    <s v="190006778"/>
    <s v="Dekatana Hoist Service"/>
    <x v="4"/>
    <x v="4"/>
    <s v="4227296393"/>
    <d v="2024-09-13T00:00:00"/>
    <n v="9"/>
    <x v="1"/>
    <n v="9051"/>
    <n v="9051"/>
    <n v="67"/>
    <x v="3"/>
    <s v="071 1741516"/>
  </r>
  <r>
    <s v="190006778"/>
    <s v="Dekatana Hoist Service"/>
    <x v="4"/>
    <x v="4"/>
    <s v="4227300932"/>
    <d v="2024-10-16T00:00:00"/>
    <n v="10"/>
    <x v="1"/>
    <n v="27527"/>
    <n v="27527"/>
    <n v="34"/>
    <x v="3"/>
    <s v="071 1741516"/>
  </r>
  <r>
    <s v="190006778"/>
    <s v="Dekatana Hoist Service"/>
    <x v="4"/>
    <x v="4"/>
    <s v="4227300993"/>
    <d v="2024-10-16T00:00:00"/>
    <n v="10"/>
    <x v="1"/>
    <n v="13735"/>
    <n v="13735"/>
    <n v="34"/>
    <x v="3"/>
    <s v="071 1741516"/>
  </r>
  <r>
    <s v="190006778"/>
    <s v="Dekatana Hoist Service"/>
    <x v="4"/>
    <x v="4"/>
    <s v="4227301425"/>
    <d v="2024-10-21T00:00:00"/>
    <n v="10"/>
    <x v="1"/>
    <n v="9251"/>
    <n v="9251"/>
    <n v="29"/>
    <x v="3"/>
    <s v="071 1741516"/>
  </r>
  <r>
    <s v="190006778"/>
    <s v="Dekatana Hoist Service"/>
    <x v="4"/>
    <x v="4"/>
    <s v="4227302864"/>
    <d v="2024-10-29T00:00:00"/>
    <n v="10"/>
    <x v="1"/>
    <n v="18054"/>
    <n v="18054"/>
    <n v="21"/>
    <x v="3"/>
    <s v="071 1741516"/>
  </r>
  <r>
    <s v="190006783"/>
    <s v="Ruwan Windscreen Center"/>
    <x v="4"/>
    <x v="4"/>
    <s v="4227217172"/>
    <d v="2022-08-15T00:00:00"/>
    <n v="8"/>
    <x v="6"/>
    <n v="15344"/>
    <n v="14864"/>
    <n v="827"/>
    <x v="1302"/>
    <s v="0715 746822"/>
  </r>
  <r>
    <s v="190007152"/>
    <s v="Ishanath Auto Electrical &amp; Motors"/>
    <x v="4"/>
    <x v="4"/>
    <s v="4227043569"/>
    <d v="2017-10-19T00:00:00"/>
    <n v="10"/>
    <x v="2"/>
    <n v="6250"/>
    <n v="6250"/>
    <n v="2588"/>
    <x v="1303"/>
    <s v="0711788455"/>
  </r>
  <r>
    <s v="190007330"/>
    <s v="Thilina Motors"/>
    <x v="4"/>
    <x v="4"/>
    <s v="4227293368"/>
    <d v="2024-08-26T00:00:00"/>
    <n v="8"/>
    <x v="1"/>
    <n v="271400"/>
    <n v="184965"/>
    <n v="85"/>
    <x v="3"/>
    <s v="0714769002"/>
  </r>
  <r>
    <s v="190007330"/>
    <s v="Thilina Motors"/>
    <x v="4"/>
    <x v="4"/>
    <s v="4227301831"/>
    <d v="2024-10-23T00:00:00"/>
    <n v="10"/>
    <x v="1"/>
    <n v="1794"/>
    <n v="1794"/>
    <n v="27"/>
    <x v="3"/>
    <s v="0714769002"/>
  </r>
  <r>
    <s v="190007330"/>
    <s v="Thilina Motors"/>
    <x v="4"/>
    <x v="4"/>
    <s v="4227303124"/>
    <d v="2024-10-30T00:00:00"/>
    <n v="10"/>
    <x v="1"/>
    <n v="32568"/>
    <n v="32568"/>
    <n v="20"/>
    <x v="3"/>
    <s v="0714769002"/>
  </r>
  <r>
    <s v="190007424"/>
    <s v="Rathnayake Service Station"/>
    <x v="4"/>
    <x v="4"/>
    <s v="225193 / 231952"/>
    <d v="2024-05-31T00:00:00"/>
    <n v="5"/>
    <x v="1"/>
    <n v="-5268"/>
    <n v="-5268"/>
    <n v="172"/>
    <x v="1304"/>
    <s v="0774425546"/>
  </r>
  <r>
    <s v="190007424"/>
    <s v="Rathnayake Service Station"/>
    <x v="4"/>
    <x v="4"/>
    <s v="4227297226"/>
    <d v="2024-09-20T00:00:00"/>
    <n v="9"/>
    <x v="1"/>
    <n v="18904"/>
    <n v="18904"/>
    <n v="60"/>
    <x v="3"/>
    <s v="0774425546"/>
  </r>
  <r>
    <s v="190007424"/>
    <s v="Rathnayake Service Station"/>
    <x v="4"/>
    <x v="4"/>
    <s v="4227301100"/>
    <d v="2024-10-18T00:00:00"/>
    <n v="10"/>
    <x v="1"/>
    <n v="13098"/>
    <n v="13098"/>
    <n v="32"/>
    <x v="3"/>
    <s v="0774425546"/>
  </r>
  <r>
    <s v="190007424"/>
    <s v="Rathnayake Service Station"/>
    <x v="4"/>
    <x v="4"/>
    <s v="4227304290"/>
    <d v="2024-10-31T00:00:00"/>
    <n v="10"/>
    <x v="1"/>
    <n v="300001"/>
    <n v="300001"/>
    <n v="19"/>
    <x v="3"/>
    <s v="0774425546"/>
  </r>
  <r>
    <s v="190007608"/>
    <s v="Max Well Auto Care"/>
    <x v="4"/>
    <x v="4"/>
    <s v="4227221987"/>
    <d v="2022-09-30T00:00:00"/>
    <n v="9"/>
    <x v="6"/>
    <n v="23184"/>
    <n v="10256"/>
    <n v="781"/>
    <x v="1305"/>
    <s v="0716111375"/>
  </r>
  <r>
    <s v="190007609"/>
    <s v="Everest Service Station"/>
    <x v="4"/>
    <x v="4"/>
    <s v="RTN CHQ - 65"/>
    <d v="2023-12-13T00:00:00"/>
    <n v="12"/>
    <x v="0"/>
    <n v="80000"/>
    <n v="17312"/>
    <n v="342"/>
    <x v="1306"/>
    <s v="0777256059"/>
  </r>
  <r>
    <s v="190007609"/>
    <s v="Everest Service Station"/>
    <x v="4"/>
    <x v="4"/>
    <s v="RTN CHQ - 68"/>
    <d v="2023-12-29T00:00:00"/>
    <n v="12"/>
    <x v="0"/>
    <n v="70000"/>
    <n v="70000"/>
    <n v="326"/>
    <x v="1307"/>
    <s v="0777256059"/>
  </r>
  <r>
    <s v="190007609"/>
    <s v="Everest Service Station"/>
    <x v="4"/>
    <x v="4"/>
    <s v="RTN CHQ - 67"/>
    <d v="2023-12-28T00:00:00"/>
    <n v="12"/>
    <x v="0"/>
    <n v="67782"/>
    <n v="57782"/>
    <n v="327"/>
    <x v="1308"/>
    <s v="0777256059"/>
  </r>
  <r>
    <s v="190007775"/>
    <s v="Kumari Motors"/>
    <x v="4"/>
    <x v="4"/>
    <s v="4227221856"/>
    <d v="2022-09-30T00:00:00"/>
    <n v="9"/>
    <x v="6"/>
    <n v="39802"/>
    <n v="19802"/>
    <n v="781"/>
    <x v="1309"/>
    <s v="0332286220"/>
  </r>
  <r>
    <s v="190007775"/>
    <s v="Kumari Motors"/>
    <x v="4"/>
    <x v="4"/>
    <s v="4227226004"/>
    <d v="2022-11-22T00:00:00"/>
    <n v="11"/>
    <x v="6"/>
    <n v="21735"/>
    <n v="21735"/>
    <n v="728"/>
    <x v="1310"/>
    <s v="0332286220"/>
  </r>
  <r>
    <s v="190007866"/>
    <s v="General Engineering"/>
    <x v="4"/>
    <x v="4"/>
    <s v="4227050800"/>
    <d v="2017-12-27T00:00:00"/>
    <n v="12"/>
    <x v="2"/>
    <n v="40000"/>
    <n v="17000"/>
    <n v="2519"/>
    <x v="1311"/>
    <s v="0332297987"/>
  </r>
  <r>
    <s v="190007884"/>
    <s v="A. G. Motors"/>
    <x v="4"/>
    <x v="4"/>
    <s v="4227275160"/>
    <d v="2024-03-20T00:00:00"/>
    <n v="3"/>
    <x v="1"/>
    <n v="991"/>
    <n v="960"/>
    <n v="244"/>
    <x v="1312"/>
    <s v="0779553829"/>
  </r>
  <r>
    <s v="190007884"/>
    <s v="A. G. Motors"/>
    <x v="4"/>
    <x v="4"/>
    <s v="4227283478"/>
    <d v="2024-06-11T00:00:00"/>
    <n v="6"/>
    <x v="1"/>
    <n v="1075"/>
    <n v="1075"/>
    <n v="161"/>
    <x v="1225"/>
    <s v="0779553829"/>
  </r>
  <r>
    <s v="190008142"/>
    <s v="Senaka Enterprises"/>
    <x v="4"/>
    <x v="4"/>
    <s v="4227303138"/>
    <d v="2024-10-30T00:00:00"/>
    <n v="10"/>
    <x v="1"/>
    <n v="8850"/>
    <n v="8850"/>
    <n v="20"/>
    <x v="3"/>
    <s v="0773735489"/>
  </r>
  <r>
    <s v="190008142"/>
    <s v="Senaka Enterprises"/>
    <x v="4"/>
    <x v="4"/>
    <s v="4227303229"/>
    <d v="2024-10-30T00:00:00"/>
    <n v="10"/>
    <x v="1"/>
    <n v="16461"/>
    <n v="16461"/>
    <n v="20"/>
    <x v="3"/>
    <s v="0773735489"/>
  </r>
  <r>
    <s v="190008369"/>
    <s v="Ideal First Choice (Pvt) Ltd"/>
    <x v="4"/>
    <x v="4"/>
    <s v="144778-001419"/>
    <d v="2021-03-31T00:00:00"/>
    <n v="3"/>
    <x v="4"/>
    <n v="-11069.52"/>
    <n v="-4553.74"/>
    <n v="1329"/>
    <x v="1313"/>
    <s v="0337201237"/>
  </r>
  <r>
    <s v="190008369"/>
    <s v="Ideal First Choice (Pvt) Ltd"/>
    <x v="4"/>
    <x v="4"/>
    <s v="4227136457"/>
    <d v="2020-03-12T00:00:00"/>
    <n v="3"/>
    <x v="3"/>
    <n v="14282"/>
    <n v="14282"/>
    <n v="1713"/>
    <x v="1314"/>
    <s v="0337201237"/>
  </r>
  <r>
    <s v="190008369"/>
    <s v="Ideal First Choice (Pvt) Ltd"/>
    <x v="4"/>
    <x v="4"/>
    <s v="4227136459"/>
    <d v="2020-03-12T00:00:00"/>
    <n v="3"/>
    <x v="3"/>
    <n v="33262"/>
    <n v="33262"/>
    <n v="1713"/>
    <x v="1315"/>
    <s v="0337201237"/>
  </r>
  <r>
    <s v="190008369"/>
    <s v="Ideal First Choice (Pvt) Ltd"/>
    <x v="4"/>
    <x v="4"/>
    <s v="4227136461"/>
    <d v="2020-03-12T00:00:00"/>
    <n v="3"/>
    <x v="3"/>
    <n v="8320"/>
    <n v="8320"/>
    <n v="1713"/>
    <x v="1316"/>
    <s v="0337201237"/>
  </r>
  <r>
    <s v="190008369"/>
    <s v="Ideal First Choice (Pvt) Ltd"/>
    <x v="4"/>
    <x v="4"/>
    <s v="4227136532"/>
    <d v="2020-03-12T00:00:00"/>
    <n v="3"/>
    <x v="3"/>
    <n v="9033"/>
    <n v="9033"/>
    <n v="1713"/>
    <x v="1317"/>
    <s v="0337201237"/>
  </r>
  <r>
    <s v="190008369"/>
    <s v="Ideal First Choice (Pvt) Ltd"/>
    <x v="4"/>
    <x v="4"/>
    <s v="4227136688"/>
    <d v="2020-03-13T00:00:00"/>
    <n v="3"/>
    <x v="3"/>
    <n v="6310"/>
    <n v="6310"/>
    <n v="1712"/>
    <x v="1318"/>
    <s v="0337201237"/>
  </r>
  <r>
    <s v="190008369"/>
    <s v="Ideal First Choice (Pvt) Ltd"/>
    <x v="4"/>
    <x v="4"/>
    <s v="4227136794"/>
    <d v="2020-03-17T00:00:00"/>
    <n v="3"/>
    <x v="3"/>
    <n v="6310"/>
    <n v="6310"/>
    <n v="1708"/>
    <x v="1318"/>
    <s v="0337201237"/>
  </r>
  <r>
    <s v="190008369"/>
    <s v="Ideal First Choice (Pvt) Ltd"/>
    <x v="4"/>
    <x v="4"/>
    <s v="4227136795"/>
    <d v="2020-03-17T00:00:00"/>
    <n v="3"/>
    <x v="3"/>
    <n v="18833"/>
    <n v="18833"/>
    <n v="1708"/>
    <x v="679"/>
    <s v="0337201237"/>
  </r>
  <r>
    <s v="190008369"/>
    <s v="Ideal First Choice (Pvt) Ltd"/>
    <x v="4"/>
    <x v="4"/>
    <s v="4227148733"/>
    <d v="2020-08-31T00:00:00"/>
    <n v="8"/>
    <x v="3"/>
    <n v="69116"/>
    <n v="69116"/>
    <n v="1541"/>
    <x v="1319"/>
    <s v="0337201237"/>
  </r>
  <r>
    <s v="190008369"/>
    <s v="Ideal First Choice (Pvt) Ltd"/>
    <x v="4"/>
    <x v="4"/>
    <s v="4227155919"/>
    <d v="2020-11-06T00:00:00"/>
    <n v="11"/>
    <x v="3"/>
    <n v="42120"/>
    <n v="30780"/>
    <n v="1474"/>
    <x v="1320"/>
    <s v="0337201237"/>
  </r>
  <r>
    <s v="190008369"/>
    <s v="Ideal First Choice (Pvt) Ltd"/>
    <x v="4"/>
    <x v="4"/>
    <s v="4227156716"/>
    <d v="2020-11-16T00:00:00"/>
    <n v="11"/>
    <x v="3"/>
    <n v="42120"/>
    <n v="30780"/>
    <n v="1464"/>
    <x v="1320"/>
    <s v="0337201237"/>
  </r>
  <r>
    <s v="190008369"/>
    <s v="Ideal First Choice (Pvt) Ltd"/>
    <x v="4"/>
    <x v="4"/>
    <s v="4227159203"/>
    <d v="2020-12-09T00:00:00"/>
    <n v="12"/>
    <x v="3"/>
    <n v="4317"/>
    <n v="4317"/>
    <n v="1441"/>
    <x v="1321"/>
    <s v="0337201237"/>
  </r>
  <r>
    <s v="190008369"/>
    <s v="Ideal First Choice (Pvt) Ltd"/>
    <x v="4"/>
    <x v="4"/>
    <s v="4227176111"/>
    <d v="2021-05-03T00:00:00"/>
    <n v="5"/>
    <x v="4"/>
    <n v="18468"/>
    <n v="18468"/>
    <n v="1296"/>
    <x v="1322"/>
    <s v="0337201237"/>
  </r>
  <r>
    <s v="190008369"/>
    <s v="Ideal First Choice (Pvt) Ltd"/>
    <x v="4"/>
    <x v="4"/>
    <s v="4227180677"/>
    <d v="2021-07-13T00:00:00"/>
    <n v="7"/>
    <x v="4"/>
    <n v="9872"/>
    <n v="9872"/>
    <n v="1225"/>
    <x v="1323"/>
    <s v="0337201237"/>
  </r>
  <r>
    <s v="190008369"/>
    <s v="Ideal First Choice (Pvt) Ltd"/>
    <x v="4"/>
    <x v="4"/>
    <s v="4227284209"/>
    <d v="2024-06-18T00:00:00"/>
    <n v="6"/>
    <x v="1"/>
    <n v="22502"/>
    <n v="22502"/>
    <n v="154"/>
    <x v="1324"/>
    <s v="0337201237"/>
  </r>
  <r>
    <s v="190008466"/>
    <s v="Susantha Auto Mobile"/>
    <x v="4"/>
    <x v="4"/>
    <s v="234704 / 087190"/>
    <d v="2024-09-24T00:00:00"/>
    <n v="9"/>
    <x v="1"/>
    <n v="-4503"/>
    <n v="-4503"/>
    <n v="56"/>
    <x v="3"/>
    <s v="0716881480"/>
  </r>
  <r>
    <s v="190008466"/>
    <s v="Susantha Auto Mobile"/>
    <x v="4"/>
    <x v="4"/>
    <s v="4227288574"/>
    <d v="2024-07-23T00:00:00"/>
    <n v="7"/>
    <x v="1"/>
    <n v="28320"/>
    <n v="28320"/>
    <n v="119"/>
    <x v="353"/>
    <s v="0716881480"/>
  </r>
  <r>
    <s v="190008466"/>
    <s v="Susantha Auto Mobile"/>
    <x v="4"/>
    <x v="4"/>
    <s v="4227296015"/>
    <d v="2024-09-11T00:00:00"/>
    <n v="9"/>
    <x v="1"/>
    <n v="11328"/>
    <n v="11328"/>
    <n v="69"/>
    <x v="3"/>
    <s v="0716881480"/>
  </r>
  <r>
    <s v="190008466"/>
    <s v="Susantha Auto Mobile"/>
    <x v="4"/>
    <x v="4"/>
    <s v="4227296017"/>
    <d v="2024-09-11T00:00:00"/>
    <n v="9"/>
    <x v="1"/>
    <n v="24886"/>
    <n v="24886"/>
    <n v="69"/>
    <x v="3"/>
    <s v="0716881480"/>
  </r>
  <r>
    <s v="190008466"/>
    <s v="Susantha Auto Mobile"/>
    <x v="4"/>
    <x v="4"/>
    <s v="4227298050"/>
    <d v="2024-09-27T00:00:00"/>
    <n v="9"/>
    <x v="1"/>
    <n v="94400"/>
    <n v="94400"/>
    <n v="53"/>
    <x v="3"/>
    <s v="0716881480"/>
  </r>
  <r>
    <s v="190008486"/>
    <s v="Sathsara Auto Electrical"/>
    <x v="4"/>
    <x v="4"/>
    <s v="4227292016"/>
    <d v="2024-08-14T00:00:00"/>
    <n v="8"/>
    <x v="1"/>
    <n v="271400"/>
    <n v="271400"/>
    <n v="97"/>
    <x v="1325"/>
    <s v="0774663904"/>
  </r>
  <r>
    <s v="190008495"/>
    <s v="Samantha Motor Traders"/>
    <x v="4"/>
    <x v="4"/>
    <s v="4227113972"/>
    <d v="2019-08-28T00:00:00"/>
    <n v="8"/>
    <x v="5"/>
    <n v="36800"/>
    <n v="900"/>
    <n v="1910"/>
    <x v="1326"/>
    <s v="0777724245"/>
  </r>
  <r>
    <s v="190008495"/>
    <s v="Samantha Motor Traders"/>
    <x v="4"/>
    <x v="4"/>
    <s v="4227114557"/>
    <d v="2019-08-31T00:00:00"/>
    <n v="8"/>
    <x v="5"/>
    <n v="5060"/>
    <n v="5060"/>
    <n v="1907"/>
    <x v="119"/>
    <s v="0777724245"/>
  </r>
  <r>
    <s v="190008495"/>
    <s v="Samantha Motor Traders"/>
    <x v="4"/>
    <x v="4"/>
    <s v="4227115668"/>
    <d v="2019-09-11T00:00:00"/>
    <n v="9"/>
    <x v="5"/>
    <n v="23000"/>
    <n v="23000"/>
    <n v="1896"/>
    <x v="1235"/>
    <s v="0777724245"/>
  </r>
  <r>
    <s v="190008495"/>
    <s v="Samantha Motor Traders"/>
    <x v="4"/>
    <x v="4"/>
    <s v="4227125955"/>
    <d v="2019-12-10T00:00:00"/>
    <n v="12"/>
    <x v="5"/>
    <n v="15552"/>
    <n v="15552"/>
    <n v="1806"/>
    <x v="1327"/>
    <s v="0777724245"/>
  </r>
  <r>
    <s v="190008495"/>
    <s v="Samantha Motor Traders"/>
    <x v="4"/>
    <x v="4"/>
    <s v="4227125956"/>
    <d v="2019-12-10T00:00:00"/>
    <n v="12"/>
    <x v="5"/>
    <n v="34560"/>
    <n v="34560"/>
    <n v="1806"/>
    <x v="1328"/>
    <s v="0777724245"/>
  </r>
  <r>
    <s v="190008495"/>
    <s v="Samantha Motor Traders"/>
    <x v="4"/>
    <x v="4"/>
    <s v="4227132879"/>
    <d v="2020-02-11T00:00:00"/>
    <n v="2"/>
    <x v="3"/>
    <n v="25920"/>
    <n v="25920"/>
    <n v="1743"/>
    <x v="1329"/>
    <s v="0777724245"/>
  </r>
  <r>
    <s v="190008495"/>
    <s v="Samantha Motor Traders"/>
    <x v="4"/>
    <x v="4"/>
    <s v="4227132880"/>
    <d v="2020-02-11T00:00:00"/>
    <n v="2"/>
    <x v="3"/>
    <n v="31104"/>
    <n v="31104"/>
    <n v="1743"/>
    <x v="20"/>
    <s v="0777724245"/>
  </r>
  <r>
    <s v="190008523"/>
    <s v="Withana Motors"/>
    <x v="4"/>
    <x v="4"/>
    <s v="4227086566"/>
    <d v="2018-11-30T00:00:00"/>
    <n v="11"/>
    <x v="2"/>
    <n v="25220"/>
    <n v="15220"/>
    <n v="2181"/>
    <x v="1330"/>
    <s v="0754904918"/>
  </r>
  <r>
    <s v="190008696"/>
    <s v="Patrona Service (pvt) Ltd"/>
    <x v="4"/>
    <x v="4"/>
    <s v="4227163603"/>
    <d v="2021-01-25T00:00:00"/>
    <n v="1"/>
    <x v="4"/>
    <n v="18768"/>
    <n v="1100"/>
    <n v="1394"/>
    <x v="1331"/>
    <s v="0777048390"/>
  </r>
  <r>
    <s v="190008708"/>
    <s v="Sandaruwan Auto Care"/>
    <x v="4"/>
    <x v="4"/>
    <s v="4227291520"/>
    <d v="2024-08-09T00:00:00"/>
    <n v="8"/>
    <x v="1"/>
    <n v="271400"/>
    <n v="121400"/>
    <n v="102"/>
    <x v="1332"/>
    <s v="0333688229"/>
  </r>
  <r>
    <s v="190008708"/>
    <s v="Sandaruwan Auto Care"/>
    <x v="4"/>
    <x v="4"/>
    <s v="4227298536"/>
    <d v="2024-09-30T00:00:00"/>
    <n v="9"/>
    <x v="1"/>
    <n v="31860"/>
    <n v="31860"/>
    <n v="50"/>
    <x v="3"/>
    <s v="0333688229"/>
  </r>
  <r>
    <s v="190008708"/>
    <s v="Sandaruwan Auto Care"/>
    <x v="4"/>
    <x v="4"/>
    <s v="4227298537"/>
    <d v="2024-09-30T00:00:00"/>
    <n v="9"/>
    <x v="1"/>
    <n v="32285"/>
    <n v="32285"/>
    <n v="50"/>
    <x v="3"/>
    <s v="0333688229"/>
  </r>
  <r>
    <s v="190008848"/>
    <s v="Dinesh Motors"/>
    <x v="4"/>
    <x v="4"/>
    <s v="4227085772"/>
    <d v="2018-11-26T00:00:00"/>
    <n v="11"/>
    <x v="2"/>
    <n v="5077"/>
    <n v="5077"/>
    <n v="2185"/>
    <x v="1333"/>
    <s v="0711926417"/>
  </r>
  <r>
    <s v="190008880"/>
    <s v="Waruna Motors"/>
    <x v="4"/>
    <x v="4"/>
    <s v="4227295442"/>
    <d v="2024-09-04T00:00:00"/>
    <n v="9"/>
    <x v="1"/>
    <n v="9748"/>
    <n v="9748"/>
    <n v="76"/>
    <x v="3"/>
    <s v="0334383397"/>
  </r>
  <r>
    <s v="190008880"/>
    <s v="Waruna Motors"/>
    <x v="4"/>
    <x v="4"/>
    <s v="4227295478"/>
    <d v="2024-09-04T00:00:00"/>
    <n v="9"/>
    <x v="1"/>
    <n v="17884"/>
    <n v="17884"/>
    <n v="76"/>
    <x v="3"/>
    <s v="0334383397"/>
  </r>
  <r>
    <s v="190009012"/>
    <s v="Ruwan Auto Electricals"/>
    <x v="4"/>
    <x v="4"/>
    <s v="4227221620"/>
    <d v="2022-09-29T00:00:00"/>
    <n v="9"/>
    <x v="6"/>
    <n v="22476"/>
    <n v="2530"/>
    <n v="782"/>
    <x v="1334"/>
    <s v="0777901591"/>
  </r>
  <r>
    <s v="190009012"/>
    <s v="Ruwan Auto Electricals"/>
    <x v="4"/>
    <x v="4"/>
    <s v="4227290264"/>
    <d v="2024-07-31T00:00:00"/>
    <n v="7"/>
    <x v="1"/>
    <n v="7973"/>
    <n v="7973"/>
    <n v="111"/>
    <x v="833"/>
    <s v="0777901591"/>
  </r>
  <r>
    <s v="190009012"/>
    <s v="Ruwan Auto Electricals"/>
    <x v="4"/>
    <x v="4"/>
    <s v="4227291583"/>
    <d v="2024-08-09T00:00:00"/>
    <n v="8"/>
    <x v="1"/>
    <n v="32037"/>
    <n v="32037"/>
    <n v="102"/>
    <x v="1335"/>
    <s v="0777901591"/>
  </r>
  <r>
    <s v="190009014"/>
    <s v="Sanju Auto Service"/>
    <x v="4"/>
    <x v="4"/>
    <s v="4227124552"/>
    <d v="2019-11-27T00:00:00"/>
    <n v="11"/>
    <x v="5"/>
    <n v="18734"/>
    <n v="18734"/>
    <n v="1819"/>
    <x v="1336"/>
    <s v="0770668129"/>
  </r>
  <r>
    <s v="190009117"/>
    <s v="Sanumi Auto Engineering"/>
    <x v="4"/>
    <x v="4"/>
    <s v="4227282026"/>
    <d v="2024-05-30T00:00:00"/>
    <n v="5"/>
    <x v="1"/>
    <n v="14160"/>
    <n v="1918"/>
    <n v="173"/>
    <x v="1337"/>
    <s v="0773774353"/>
  </r>
  <r>
    <s v="190009117"/>
    <s v="Sanumi Auto Engineering"/>
    <x v="4"/>
    <x v="4"/>
    <s v="4227290152"/>
    <d v="2024-07-31T00:00:00"/>
    <n v="7"/>
    <x v="1"/>
    <n v="14160"/>
    <n v="2124"/>
    <n v="111"/>
    <x v="1338"/>
    <s v="0773774353"/>
  </r>
  <r>
    <s v="190009117"/>
    <s v="Sanumi Auto Engineering"/>
    <x v="4"/>
    <x v="4"/>
    <s v="4227298614"/>
    <d v="2024-09-30T00:00:00"/>
    <n v="9"/>
    <x v="1"/>
    <n v="24886"/>
    <n v="24886"/>
    <n v="50"/>
    <x v="3"/>
    <s v="0773774353"/>
  </r>
  <r>
    <s v="190009117"/>
    <s v="Sanumi Auto Engineering"/>
    <x v="4"/>
    <x v="4"/>
    <s v="4227298615"/>
    <d v="2024-09-30T00:00:00"/>
    <n v="9"/>
    <x v="1"/>
    <n v="24886"/>
    <n v="24886"/>
    <n v="50"/>
    <x v="3"/>
    <s v="0773774353"/>
  </r>
  <r>
    <s v="190009117"/>
    <s v="Sanumi Auto Engineering"/>
    <x v="4"/>
    <x v="4"/>
    <s v="4227301354"/>
    <d v="2024-10-21T00:00:00"/>
    <n v="10"/>
    <x v="1"/>
    <n v="3304"/>
    <n v="3304"/>
    <n v="29"/>
    <x v="3"/>
    <s v="0773774353"/>
  </r>
  <r>
    <s v="190009162"/>
    <s v="Halford Care"/>
    <x v="4"/>
    <x v="4"/>
    <s v="214875"/>
    <d v="2023-12-29T00:00:00"/>
    <n v="12"/>
    <x v="0"/>
    <n v="-22484"/>
    <n v="-22484"/>
    <n v="326"/>
    <x v="1339"/>
    <s v="0777783140"/>
  </r>
  <r>
    <s v="190009162"/>
    <s v="Halford Care"/>
    <x v="4"/>
    <x v="4"/>
    <s v="4227210288"/>
    <d v="2022-04-27T00:00:00"/>
    <n v="4"/>
    <x v="6"/>
    <n v="22239"/>
    <n v="3662.72"/>
    <n v="937"/>
    <x v="1340"/>
    <s v="0777783140"/>
  </r>
  <r>
    <s v="190009162"/>
    <s v="Halford Care"/>
    <x v="4"/>
    <x v="4"/>
    <s v="4227278833"/>
    <d v="2024-04-30T00:00:00"/>
    <n v="4"/>
    <x v="1"/>
    <n v="160480"/>
    <n v="0"/>
    <n v="203"/>
    <x v="345"/>
    <s v="0777783140"/>
  </r>
  <r>
    <s v="190009162"/>
    <s v="Halford Care"/>
    <x v="4"/>
    <x v="4"/>
    <s v="4227296906"/>
    <d v="2024-09-20T00:00:00"/>
    <n v="9"/>
    <x v="1"/>
    <n v="460395"/>
    <n v="460395"/>
    <n v="60"/>
    <x v="3"/>
    <s v="0777783140"/>
  </r>
  <r>
    <s v="190009162"/>
    <s v="Halford Care"/>
    <x v="4"/>
    <x v="4"/>
    <s v="4227304488"/>
    <d v="2024-10-31T00:00:00"/>
    <n v="10"/>
    <x v="1"/>
    <n v="177000"/>
    <n v="177000"/>
    <n v="19"/>
    <x v="3"/>
    <s v="0777783140"/>
  </r>
  <r>
    <s v="190009345"/>
    <s v="Siyane Auto Paint"/>
    <x v="4"/>
    <x v="4"/>
    <s v="4227094878"/>
    <d v="2019-02-23T00:00:00"/>
    <n v="2"/>
    <x v="5"/>
    <n v="9775"/>
    <n v="9775"/>
    <n v="2096"/>
    <x v="53"/>
    <s v="0332235022"/>
  </r>
  <r>
    <s v="190009345"/>
    <s v="Siyane Auto Paint"/>
    <x v="4"/>
    <x v="4"/>
    <s v="4227099950"/>
    <d v="2019-04-09T00:00:00"/>
    <n v="4"/>
    <x v="5"/>
    <n v="2142"/>
    <n v="2142"/>
    <n v="2051"/>
    <x v="1341"/>
    <s v="0332235022"/>
  </r>
  <r>
    <s v="190009345"/>
    <s v="Siyane Auto Paint"/>
    <x v="4"/>
    <x v="4"/>
    <s v="4227101832"/>
    <d v="2019-05-07T00:00:00"/>
    <n v="5"/>
    <x v="5"/>
    <n v="9614"/>
    <n v="9614"/>
    <n v="2023"/>
    <x v="1342"/>
    <s v="0332235022"/>
  </r>
  <r>
    <s v="190009345"/>
    <s v="Siyane Auto Paint"/>
    <x v="4"/>
    <x v="4"/>
    <s v="4227103682"/>
    <d v="2019-05-28T00:00:00"/>
    <n v="5"/>
    <x v="5"/>
    <n v="4025"/>
    <n v="4025"/>
    <n v="2002"/>
    <x v="294"/>
    <s v="0332235022"/>
  </r>
  <r>
    <s v="190009732"/>
    <s v="Protouch Premium"/>
    <x v="4"/>
    <x v="4"/>
    <s v="RTN CHQ - 70"/>
    <d v="2023-06-26T00:00:00"/>
    <n v="6"/>
    <x v="0"/>
    <n v="50000"/>
    <n v="50000"/>
    <n v="512"/>
    <x v="38"/>
    <s v="0716492323"/>
  </r>
  <r>
    <s v="190009885"/>
    <s v="Nida Enterprises (Pvt) Ltd"/>
    <x v="4"/>
    <x v="4"/>
    <s v="4227237621"/>
    <d v="2023-03-29T00:00:00"/>
    <n v="3"/>
    <x v="0"/>
    <n v="68569"/>
    <n v="40785"/>
    <n v="601"/>
    <x v="1343"/>
    <s v="0777303874"/>
  </r>
  <r>
    <s v="190009900"/>
    <s v="Dilantha Colour Mixing Centre"/>
    <x v="4"/>
    <x v="4"/>
    <s v="4227216165"/>
    <d v="2022-07-29T00:00:00"/>
    <n v="7"/>
    <x v="6"/>
    <n v="18480"/>
    <n v="5980"/>
    <n v="844"/>
    <x v="1344"/>
    <s v="0769182773"/>
  </r>
  <r>
    <s v="190009900"/>
    <s v="Dilantha Colour Mixing Centre"/>
    <x v="4"/>
    <x v="4"/>
    <s v="4227219744"/>
    <d v="2022-09-09T00:00:00"/>
    <n v="9"/>
    <x v="6"/>
    <n v="6785"/>
    <n v="3392"/>
    <n v="802"/>
    <x v="1345"/>
    <s v="0769182773"/>
  </r>
  <r>
    <s v="190009901"/>
    <s v="Siyane Auto Service (Pvt) Ltd"/>
    <x v="4"/>
    <x v="4"/>
    <s v="4227176732"/>
    <d v="2021-05-10T00:00:00"/>
    <n v="5"/>
    <x v="4"/>
    <n v="8424"/>
    <n v="8424"/>
    <n v="1289"/>
    <x v="1346"/>
    <s v="0704960740"/>
  </r>
  <r>
    <s v="190009901"/>
    <s v="Siyane Auto Service (Pvt) Ltd"/>
    <x v="4"/>
    <x v="4"/>
    <s v="4227183253"/>
    <d v="2021-08-05T00:00:00"/>
    <n v="8"/>
    <x v="4"/>
    <n v="50544"/>
    <n v="12636"/>
    <n v="1202"/>
    <x v="1347"/>
    <s v="0704960740"/>
  </r>
  <r>
    <s v="190010147"/>
    <s v="Swarnamali Auto Care"/>
    <x v="4"/>
    <x v="4"/>
    <s v="4227230996"/>
    <d v="2023-01-21T00:00:00"/>
    <n v="1"/>
    <x v="0"/>
    <n v="57380"/>
    <n v="1750"/>
    <n v="668"/>
    <x v="1348"/>
    <s v="0776393132"/>
  </r>
  <r>
    <s v="190010147"/>
    <s v="Swarnamali Auto Care"/>
    <x v="4"/>
    <x v="4"/>
    <s v="4227278838"/>
    <d v="2024-04-30T00:00:00"/>
    <n v="4"/>
    <x v="1"/>
    <n v="68037"/>
    <n v="68037"/>
    <n v="203"/>
    <x v="1349"/>
    <s v="0776393132"/>
  </r>
  <r>
    <s v="190010147"/>
    <s v="Swarnamali Auto Care"/>
    <x v="4"/>
    <x v="4"/>
    <s v="4227302109"/>
    <d v="2024-10-24T00:00:00"/>
    <n v="10"/>
    <x v="1"/>
    <n v="7434"/>
    <n v="7434"/>
    <n v="26"/>
    <x v="3"/>
    <s v="0776393132"/>
  </r>
  <r>
    <s v="190010147"/>
    <s v="Swarnamali Auto Care"/>
    <x v="4"/>
    <x v="4"/>
    <s v="4227302110"/>
    <d v="2024-10-24T00:00:00"/>
    <n v="10"/>
    <x v="1"/>
    <n v="7434"/>
    <n v="7434"/>
    <n v="26"/>
    <x v="3"/>
    <s v="0776393132"/>
  </r>
  <r>
    <s v="190010147"/>
    <s v="Swarnamali Auto Care"/>
    <x v="4"/>
    <x v="4"/>
    <s v="4227302140"/>
    <d v="2024-10-24T00:00:00"/>
    <n v="10"/>
    <x v="1"/>
    <n v="1500"/>
    <n v="1500"/>
    <n v="26"/>
    <x v="3"/>
    <s v="0776393132"/>
  </r>
  <r>
    <s v="190010147"/>
    <s v="Swarnamali Auto Care"/>
    <x v="4"/>
    <x v="4"/>
    <s v="4227302154"/>
    <d v="2024-10-24T00:00:00"/>
    <n v="10"/>
    <x v="1"/>
    <n v="17823"/>
    <n v="17823"/>
    <n v="26"/>
    <x v="3"/>
    <s v="0776393132"/>
  </r>
  <r>
    <s v="190010147"/>
    <s v="Swarnamali Auto Care"/>
    <x v="4"/>
    <x v="4"/>
    <s v="4227302759"/>
    <d v="2024-10-28T00:00:00"/>
    <n v="10"/>
    <x v="1"/>
    <n v="16284"/>
    <n v="16284"/>
    <n v="22"/>
    <x v="3"/>
    <s v="0776393132"/>
  </r>
  <r>
    <s v="190010147"/>
    <s v="Swarnamali Auto Care"/>
    <x v="4"/>
    <x v="4"/>
    <s v="5227015973"/>
    <d v="2024-11-18T00:00:00"/>
    <n v="11"/>
    <x v="1"/>
    <n v="-66524"/>
    <n v="-66524"/>
    <n v="1"/>
    <x v="3"/>
    <s v="0776393132"/>
  </r>
  <r>
    <s v="190010156"/>
    <s v="Acme Automobile"/>
    <x v="4"/>
    <x v="4"/>
    <s v="RTN CHQ - 554763"/>
    <d v="2022-09-02T00:00:00"/>
    <n v="9"/>
    <x v="6"/>
    <n v="24975"/>
    <n v="24975"/>
    <n v="809"/>
    <x v="1350"/>
    <s v="0112239592"/>
  </r>
  <r>
    <s v="190010156"/>
    <s v="Acme Automobile"/>
    <x v="4"/>
    <x v="4"/>
    <s v="4227220724"/>
    <d v="2022-09-21T00:00:00"/>
    <n v="9"/>
    <x v="6"/>
    <n v="23184"/>
    <n v="23184"/>
    <n v="790"/>
    <x v="1351"/>
    <s v="0112239592"/>
  </r>
  <r>
    <s v="190010156"/>
    <s v="Acme Automobile"/>
    <x v="4"/>
    <x v="4"/>
    <s v="4227220730"/>
    <d v="2022-09-21T00:00:00"/>
    <n v="9"/>
    <x v="6"/>
    <n v="11270"/>
    <n v="11270"/>
    <n v="790"/>
    <x v="0"/>
    <s v="0112239592"/>
  </r>
  <r>
    <s v="190010287"/>
    <s v="Subasinghe Motors"/>
    <x v="4"/>
    <x v="4"/>
    <s v="4227223181"/>
    <d v="2022-10-19T00:00:00"/>
    <n v="10"/>
    <x v="6"/>
    <n v="42849"/>
    <n v="14921"/>
    <n v="762"/>
    <x v="1352"/>
    <s v="0768082448"/>
  </r>
  <r>
    <s v="190010367"/>
    <s v="Hudson Auto"/>
    <x v="4"/>
    <x v="4"/>
    <s v="4227218428"/>
    <d v="2022-08-26T00:00:00"/>
    <n v="8"/>
    <x v="6"/>
    <n v="60480"/>
    <n v="60480"/>
    <n v="816"/>
    <x v="1353"/>
    <s v="0334337373"/>
  </r>
  <r>
    <s v="190010367"/>
    <s v="Hudson Auto"/>
    <x v="4"/>
    <x v="4"/>
    <s v="4227221298"/>
    <d v="2022-09-26T00:00:00"/>
    <n v="9"/>
    <x v="6"/>
    <n v="41400"/>
    <n v="3248"/>
    <n v="785"/>
    <x v="1354"/>
    <s v="0334337373"/>
  </r>
  <r>
    <s v="190010828"/>
    <s v="Dinesh Motors"/>
    <x v="4"/>
    <x v="4"/>
    <s v="4227225874"/>
    <d v="2022-11-21T00:00:00"/>
    <n v="11"/>
    <x v="6"/>
    <n v="6153"/>
    <n v="6153"/>
    <n v="729"/>
    <x v="1355"/>
    <s v="0767114724"/>
  </r>
  <r>
    <s v="190010880"/>
    <s v="New K. D. Motors"/>
    <x v="4"/>
    <x v="4"/>
    <s v="4227286006"/>
    <d v="2024-06-30T00:00:00"/>
    <n v="6"/>
    <x v="1"/>
    <n v="30627"/>
    <n v="1"/>
    <n v="142"/>
    <x v="519"/>
    <s v="113695035"/>
  </r>
  <r>
    <s v="190010880"/>
    <s v="New K. D. Motors"/>
    <x v="4"/>
    <x v="4"/>
    <s v="4227293144"/>
    <d v="2024-08-23T00:00:00"/>
    <n v="8"/>
    <x v="1"/>
    <n v="19234"/>
    <n v="19234"/>
    <n v="88"/>
    <x v="3"/>
    <s v="113695035"/>
  </r>
  <r>
    <s v="190010880"/>
    <s v="New K. D. Motors"/>
    <x v="4"/>
    <x v="4"/>
    <s v="4227293298"/>
    <d v="2024-08-24T00:00:00"/>
    <n v="8"/>
    <x v="1"/>
    <n v="26125"/>
    <n v="26125"/>
    <n v="87"/>
    <x v="3"/>
    <s v="113695035"/>
  </r>
  <r>
    <s v="190010880"/>
    <s v="New K. D. Motors"/>
    <x v="4"/>
    <x v="4"/>
    <s v="4227293340"/>
    <d v="2024-08-26T00:00:00"/>
    <n v="8"/>
    <x v="1"/>
    <n v="27527"/>
    <n v="27527"/>
    <n v="85"/>
    <x v="3"/>
    <s v="113695035"/>
  </r>
  <r>
    <s v="190010880"/>
    <s v="New K. D. Motors"/>
    <x v="4"/>
    <x v="4"/>
    <s v="4227294807"/>
    <d v="2024-08-31T00:00:00"/>
    <n v="8"/>
    <x v="1"/>
    <n v="13491"/>
    <n v="13491"/>
    <n v="80"/>
    <x v="3"/>
    <s v="113695035"/>
  </r>
  <r>
    <s v="190010880"/>
    <s v="New K. D. Motors"/>
    <x v="4"/>
    <x v="4"/>
    <s v="4227294808"/>
    <d v="2024-08-31T00:00:00"/>
    <n v="8"/>
    <x v="1"/>
    <n v="10620"/>
    <n v="10620"/>
    <n v="80"/>
    <x v="3"/>
    <s v="113695035"/>
  </r>
  <r>
    <s v="190010880"/>
    <s v="New K. D. Motors"/>
    <x v="4"/>
    <x v="4"/>
    <s v="4227300627"/>
    <d v="2024-10-14T00:00:00"/>
    <n v="10"/>
    <x v="1"/>
    <n v="9794"/>
    <n v="9794"/>
    <n v="36"/>
    <x v="3"/>
    <s v="113695035"/>
  </r>
  <r>
    <s v="190010880"/>
    <s v="New K. D. Motors"/>
    <x v="4"/>
    <x v="4"/>
    <s v="4227302397"/>
    <d v="2024-10-25T00:00:00"/>
    <n v="10"/>
    <x v="1"/>
    <n v="7118"/>
    <n v="7118"/>
    <n v="25"/>
    <x v="3"/>
    <s v="113695035"/>
  </r>
  <r>
    <s v="190011005"/>
    <s v="Vonmek Engineering"/>
    <x v="4"/>
    <x v="4"/>
    <s v="4227171187"/>
    <d v="2021-03-19T00:00:00"/>
    <n v="3"/>
    <x v="4"/>
    <n v="3348"/>
    <n v="653"/>
    <n v="1341"/>
    <x v="1356"/>
    <s v="0777220752"/>
  </r>
  <r>
    <s v="190011005"/>
    <s v="Vonmek Engineering"/>
    <x v="4"/>
    <x v="4"/>
    <s v="4227272304"/>
    <d v="2024-02-26T00:00:00"/>
    <n v="2"/>
    <x v="1"/>
    <n v="49755"/>
    <n v="20709"/>
    <n v="267"/>
    <x v="1357"/>
    <s v="0777220752"/>
  </r>
  <r>
    <s v="190011005"/>
    <s v="Vonmek Engineering"/>
    <x v="4"/>
    <x v="4"/>
    <s v="5227015643"/>
    <d v="2024-09-23T00:00:00"/>
    <n v="9"/>
    <x v="1"/>
    <n v="-20709"/>
    <n v="-20709"/>
    <n v="57"/>
    <x v="3"/>
    <s v="0777220752"/>
  </r>
  <r>
    <s v="190011257"/>
    <s v="Induwara Traders"/>
    <x v="4"/>
    <x v="4"/>
    <s v="4227227884"/>
    <d v="2022-12-15T00:00:00"/>
    <n v="12"/>
    <x v="6"/>
    <n v="13915"/>
    <n v="13915"/>
    <n v="705"/>
    <x v="1358"/>
    <s v="0763935601"/>
  </r>
  <r>
    <s v="190011337"/>
    <s v="Sakya Auto Work Shop"/>
    <x v="4"/>
    <x v="4"/>
    <s v="4227170404"/>
    <d v="2021-03-17T00:00:00"/>
    <n v="3"/>
    <x v="4"/>
    <n v="3402"/>
    <n v="1956"/>
    <n v="1343"/>
    <x v="1359"/>
    <s v="0701014485"/>
  </r>
  <r>
    <s v="190011337"/>
    <s v="Sakya Auto Work Shop"/>
    <x v="4"/>
    <x v="4"/>
    <s v="4227171609"/>
    <d v="2021-03-23T00:00:00"/>
    <n v="3"/>
    <x v="4"/>
    <n v="5184"/>
    <n v="5184"/>
    <n v="1337"/>
    <x v="102"/>
    <s v="0701014485"/>
  </r>
  <r>
    <s v="190011337"/>
    <s v="Sakya Auto Work Shop"/>
    <x v="4"/>
    <x v="4"/>
    <s v="4227173713"/>
    <d v="2021-04-09T00:00:00"/>
    <n v="4"/>
    <x v="4"/>
    <n v="2257"/>
    <n v="2257"/>
    <n v="1320"/>
    <x v="1360"/>
    <s v="0701014485"/>
  </r>
  <r>
    <s v="190011619"/>
    <s v="Euro Customers"/>
    <x v="4"/>
    <x v="4"/>
    <s v="4227249243"/>
    <d v="2023-07-31T00:00:00"/>
    <n v="7"/>
    <x v="0"/>
    <n v="330050"/>
    <n v="-938"/>
    <n v="477"/>
    <x v="1361"/>
    <s v="0711444799"/>
  </r>
  <r>
    <s v="190011619"/>
    <s v="Euro Customers"/>
    <x v="4"/>
    <x v="4"/>
    <s v="4227285033"/>
    <d v="2024-06-27T00:00:00"/>
    <n v="6"/>
    <x v="1"/>
    <n v="51937"/>
    <n v="51937"/>
    <n v="145"/>
    <x v="1362"/>
    <s v="0711444799"/>
  </r>
  <r>
    <s v="190011624"/>
    <s v="U. K. Auto Tec"/>
    <x v="4"/>
    <x v="4"/>
    <s v="4227294665"/>
    <d v="2024-08-30T00:00:00"/>
    <n v="8"/>
    <x v="1"/>
    <n v="29396"/>
    <n v="3459"/>
    <n v="81"/>
    <x v="3"/>
    <s v="0779375368"/>
  </r>
  <r>
    <s v="190011624"/>
    <s v="U. K. Auto Tec"/>
    <x v="4"/>
    <x v="4"/>
    <s v="4227296144"/>
    <d v="2024-09-12T00:00:00"/>
    <n v="9"/>
    <x v="1"/>
    <n v="12980"/>
    <n v="12980"/>
    <n v="68"/>
    <x v="3"/>
    <s v="0779375368"/>
  </r>
  <r>
    <s v="190011624"/>
    <s v="U. K. Auto Tec"/>
    <x v="4"/>
    <x v="4"/>
    <s v="4227296883"/>
    <d v="2024-09-20T00:00:00"/>
    <n v="9"/>
    <x v="1"/>
    <n v="35400"/>
    <n v="35400"/>
    <n v="60"/>
    <x v="3"/>
    <s v="0779375368"/>
  </r>
  <r>
    <s v="190011624"/>
    <s v="U. K. Auto Tec"/>
    <x v="4"/>
    <x v="4"/>
    <s v="4227296884"/>
    <d v="2024-09-20T00:00:00"/>
    <n v="9"/>
    <x v="1"/>
    <n v="10620"/>
    <n v="10620"/>
    <n v="60"/>
    <x v="3"/>
    <s v="0779375368"/>
  </r>
  <r>
    <s v="190011624"/>
    <s v="U. K. Auto Tec"/>
    <x v="4"/>
    <x v="4"/>
    <s v="4227301002"/>
    <d v="2024-10-16T00:00:00"/>
    <n v="10"/>
    <x v="1"/>
    <n v="14160"/>
    <n v="14160"/>
    <n v="34"/>
    <x v="3"/>
    <s v="0779375368"/>
  </r>
  <r>
    <s v="190011624"/>
    <s v="U. K. Auto Tec"/>
    <x v="4"/>
    <x v="4"/>
    <s v="4227305396"/>
    <d v="2024-11-11T00:00:00"/>
    <n v="11"/>
    <x v="1"/>
    <n v="14160"/>
    <n v="14160"/>
    <n v="8"/>
    <x v="3"/>
    <s v="0779375368"/>
  </r>
  <r>
    <s v="190011811"/>
    <s v="Gayashan Car Care"/>
    <x v="4"/>
    <x v="4"/>
    <s v="4227280792"/>
    <d v="2024-05-15T00:00:00"/>
    <n v="5"/>
    <x v="1"/>
    <n v="2950"/>
    <n v="2161"/>
    <n v="188"/>
    <x v="1363"/>
    <s v="0770330667"/>
  </r>
  <r>
    <s v="190011811"/>
    <s v="Gayashan Car Care"/>
    <x v="4"/>
    <x v="4"/>
    <s v="4227280976"/>
    <d v="2024-05-17T00:00:00"/>
    <n v="5"/>
    <x v="1"/>
    <n v="172044"/>
    <n v="172044"/>
    <n v="186"/>
    <x v="1364"/>
    <s v="0770330667"/>
  </r>
  <r>
    <s v="190011811"/>
    <s v="Gayashan Car Care"/>
    <x v="4"/>
    <x v="4"/>
    <s v="4227285842"/>
    <d v="2024-06-29T00:00:00"/>
    <n v="6"/>
    <x v="1"/>
    <n v="21240"/>
    <n v="21240"/>
    <n v="143"/>
    <x v="598"/>
    <s v="0770330667"/>
  </r>
  <r>
    <s v="190011811"/>
    <s v="Gayashan Car Care"/>
    <x v="4"/>
    <x v="4"/>
    <s v="4227285843"/>
    <d v="2024-06-29T00:00:00"/>
    <n v="6"/>
    <x v="1"/>
    <n v="19187"/>
    <n v="19187"/>
    <n v="143"/>
    <x v="1365"/>
    <s v="0770330667"/>
  </r>
  <r>
    <s v="190011811"/>
    <s v="Gayashan Car Care"/>
    <x v="4"/>
    <x v="4"/>
    <s v="4227285844"/>
    <d v="2024-06-29T00:00:00"/>
    <n v="6"/>
    <x v="1"/>
    <n v="265500"/>
    <n v="265500"/>
    <n v="143"/>
    <x v="759"/>
    <s v="0770330667"/>
  </r>
  <r>
    <s v="190011822"/>
    <s v="Battery Care (Pvt) Ltd"/>
    <x v="4"/>
    <x v="4"/>
    <s v="4227281136"/>
    <d v="2024-05-20T00:00:00"/>
    <n v="5"/>
    <x v="1"/>
    <n v="4366"/>
    <n v="708"/>
    <n v="183"/>
    <x v="1366"/>
    <s v="033 57121111"/>
  </r>
  <r>
    <s v="190011822"/>
    <s v="Battery Care (Pvt) Ltd"/>
    <x v="4"/>
    <x v="4"/>
    <s v="4227287025"/>
    <d v="2024-07-11T00:00:00"/>
    <n v="7"/>
    <x v="1"/>
    <n v="28320"/>
    <n v="13947"/>
    <n v="131"/>
    <x v="1367"/>
    <s v="033 57121111"/>
  </r>
  <r>
    <s v="190011822"/>
    <s v="Battery Care (Pvt) Ltd"/>
    <x v="4"/>
    <x v="4"/>
    <s v="4227304523"/>
    <d v="2024-11-01T00:00:00"/>
    <n v="11"/>
    <x v="1"/>
    <n v="28320"/>
    <n v="28320"/>
    <n v="18"/>
    <x v="3"/>
    <s v="033 57121111"/>
  </r>
  <r>
    <s v="190011840"/>
    <s v="Gunawardana Enterprices"/>
    <x v="4"/>
    <x v="4"/>
    <s v="4227175677"/>
    <d v="2021-04-30T00:00:00"/>
    <n v="4"/>
    <x v="4"/>
    <n v="6804"/>
    <n v="739.5"/>
    <n v="1299"/>
    <x v="1368"/>
    <s v="011244418"/>
  </r>
  <r>
    <s v="190011840"/>
    <s v="Gunawardana Enterprices"/>
    <x v="4"/>
    <x v="4"/>
    <s v="4227290058"/>
    <d v="2024-07-31T00:00:00"/>
    <n v="7"/>
    <x v="1"/>
    <n v="38827"/>
    <n v="2102.7600000000002"/>
    <n v="111"/>
    <x v="1369"/>
    <s v="011244418"/>
  </r>
  <r>
    <s v="190011840"/>
    <s v="Gunawardana Enterprices"/>
    <x v="4"/>
    <x v="4"/>
    <s v="4227296019"/>
    <d v="2024-09-11T00:00:00"/>
    <n v="9"/>
    <x v="1"/>
    <n v="4531"/>
    <n v="4531"/>
    <n v="69"/>
    <x v="3"/>
    <s v="011244418"/>
  </r>
  <r>
    <s v="190012140"/>
    <s v="C. H. S. Motors"/>
    <x v="4"/>
    <x v="4"/>
    <s v="4227185754"/>
    <d v="2021-09-14T00:00:00"/>
    <n v="9"/>
    <x v="4"/>
    <n v="12582"/>
    <n v="12582"/>
    <n v="1162"/>
    <x v="1370"/>
    <s v="0760423750"/>
  </r>
  <r>
    <s v="190012141"/>
    <s v="M. R. Motors"/>
    <x v="4"/>
    <x v="4"/>
    <s v="4227207473"/>
    <d v="2022-03-22T00:00:00"/>
    <n v="3"/>
    <x v="6"/>
    <n v="25488"/>
    <n v="3793"/>
    <n v="973"/>
    <x v="1371"/>
    <s v="0712223134"/>
  </r>
  <r>
    <s v="190012141"/>
    <s v="M. R. Motors"/>
    <x v="4"/>
    <x v="4"/>
    <s v="4227207897"/>
    <d v="2022-03-24T00:00:00"/>
    <n v="3"/>
    <x v="6"/>
    <n v="24397"/>
    <n v="24397"/>
    <n v="971"/>
    <x v="1372"/>
    <s v="0712223134"/>
  </r>
  <r>
    <s v="190012146"/>
    <s v="D. A. Motors"/>
    <x v="4"/>
    <x v="4"/>
    <s v="4227304274"/>
    <d v="2024-10-31T00:00:00"/>
    <n v="10"/>
    <x v="1"/>
    <n v="7567"/>
    <n v="7567"/>
    <n v="19"/>
    <x v="3"/>
    <s v="0713597239"/>
  </r>
  <r>
    <s v="190012196"/>
    <s v="C. P. S. Motors"/>
    <x v="4"/>
    <x v="4"/>
    <s v="4227291451"/>
    <d v="2024-08-09T00:00:00"/>
    <n v="8"/>
    <x v="1"/>
    <n v="14160"/>
    <n v="14160"/>
    <n v="102"/>
    <x v="406"/>
    <s v="0714341509"/>
  </r>
  <r>
    <s v="190012472"/>
    <s v="Kanishka Motors"/>
    <x v="4"/>
    <x v="4"/>
    <s v="4227298619"/>
    <d v="2024-09-30T00:00:00"/>
    <n v="9"/>
    <x v="1"/>
    <n v="113280"/>
    <n v="113280"/>
    <n v="50"/>
    <x v="3"/>
    <s v="0717341333"/>
  </r>
  <r>
    <s v="190012472"/>
    <s v="Kanishka Motors"/>
    <x v="4"/>
    <x v="4"/>
    <s v="4227303164"/>
    <d v="2024-10-30T00:00:00"/>
    <n v="10"/>
    <x v="1"/>
    <n v="81420"/>
    <n v="81420"/>
    <n v="20"/>
    <x v="3"/>
    <s v="0717341333"/>
  </r>
  <r>
    <s v="190013122"/>
    <s v="GL Auto Tech"/>
    <x v="4"/>
    <x v="4"/>
    <s v="212874 / 154211"/>
    <d v="2023-12-29T00:00:00"/>
    <n v="12"/>
    <x v="0"/>
    <n v="-2040"/>
    <n v="-2040"/>
    <n v="326"/>
    <x v="1373"/>
    <s v="0332250291"/>
  </r>
  <r>
    <s v="190013122"/>
    <s v="GL Auto Tech"/>
    <x v="4"/>
    <x v="4"/>
    <s v="4227285532"/>
    <d v="2024-06-28T00:00:00"/>
    <n v="6"/>
    <x v="1"/>
    <n v="265500"/>
    <n v="165500"/>
    <n v="144"/>
    <x v="1374"/>
    <s v="0332250291"/>
  </r>
  <r>
    <s v="190013122"/>
    <s v="GL Auto Tech"/>
    <x v="4"/>
    <x v="4"/>
    <s v="4227288777"/>
    <d v="2024-07-24T00:00:00"/>
    <n v="7"/>
    <x v="1"/>
    <n v="14226"/>
    <n v="14226"/>
    <n v="118"/>
    <x v="1375"/>
    <s v="0332250291"/>
  </r>
  <r>
    <s v="190013122"/>
    <s v="GL Auto Tech"/>
    <x v="4"/>
    <x v="4"/>
    <s v="4227288806"/>
    <d v="2024-07-24T00:00:00"/>
    <n v="7"/>
    <x v="1"/>
    <n v="35400"/>
    <n v="35400"/>
    <n v="118"/>
    <x v="352"/>
    <s v="0332250291"/>
  </r>
  <r>
    <s v="190013122"/>
    <s v="GL Auto Tech"/>
    <x v="4"/>
    <x v="4"/>
    <s v="4227288826"/>
    <d v="2024-07-24T00:00:00"/>
    <n v="7"/>
    <x v="1"/>
    <n v="56640"/>
    <n v="56640"/>
    <n v="118"/>
    <x v="330"/>
    <s v="0332250291"/>
  </r>
  <r>
    <s v="190013122"/>
    <s v="GL Auto Tech"/>
    <x v="4"/>
    <x v="4"/>
    <s v="4227289718"/>
    <d v="2024-07-30T00:00:00"/>
    <n v="7"/>
    <x v="1"/>
    <n v="1161"/>
    <n v="1161"/>
    <n v="112"/>
    <x v="1376"/>
    <s v="0332250291"/>
  </r>
  <r>
    <s v="190013122"/>
    <s v="GL Auto Tech"/>
    <x v="4"/>
    <x v="4"/>
    <s v="4227291619"/>
    <d v="2024-08-10T00:00:00"/>
    <n v="8"/>
    <x v="1"/>
    <n v="959"/>
    <n v="959"/>
    <n v="101"/>
    <x v="1377"/>
    <s v="0332250291"/>
  </r>
  <r>
    <s v="190013122"/>
    <s v="GL Auto Tech"/>
    <x v="4"/>
    <x v="4"/>
    <s v="4227294668"/>
    <d v="2024-08-30T00:00:00"/>
    <n v="8"/>
    <x v="1"/>
    <n v="35778"/>
    <n v="35778"/>
    <n v="81"/>
    <x v="3"/>
    <s v="0332250291"/>
  </r>
  <r>
    <s v="190013122"/>
    <s v="GL Auto Tech"/>
    <x v="4"/>
    <x v="4"/>
    <s v="4227294669"/>
    <d v="2024-08-30T00:00:00"/>
    <n v="8"/>
    <x v="1"/>
    <n v="17294"/>
    <n v="17294"/>
    <n v="81"/>
    <x v="3"/>
    <s v="0332250291"/>
  </r>
  <r>
    <s v="190013122"/>
    <s v="GL Auto Tech"/>
    <x v="4"/>
    <x v="4"/>
    <s v="4227294670"/>
    <d v="2024-08-30T00:00:00"/>
    <n v="8"/>
    <x v="1"/>
    <n v="37329"/>
    <n v="37329"/>
    <n v="81"/>
    <x v="3"/>
    <s v="0332250291"/>
  </r>
  <r>
    <s v="190013122"/>
    <s v="GL Auto Tech"/>
    <x v="4"/>
    <x v="4"/>
    <s v="4227303167"/>
    <d v="2024-10-30T00:00:00"/>
    <n v="10"/>
    <x v="1"/>
    <n v="59142"/>
    <n v="59142"/>
    <n v="20"/>
    <x v="3"/>
    <s v="0332250291"/>
  </r>
  <r>
    <s v="190013122"/>
    <s v="GL Auto Tech"/>
    <x v="4"/>
    <x v="4"/>
    <s v="4227303168"/>
    <d v="2024-10-30T00:00:00"/>
    <n v="10"/>
    <x v="1"/>
    <n v="5532"/>
    <n v="5532"/>
    <n v="20"/>
    <x v="3"/>
    <s v="0332250291"/>
  </r>
  <r>
    <s v="190013122"/>
    <s v="GL Auto Tech"/>
    <x v="4"/>
    <x v="4"/>
    <s v="4227303339"/>
    <d v="2024-10-30T00:00:00"/>
    <n v="10"/>
    <x v="1"/>
    <n v="18467"/>
    <n v="18467"/>
    <n v="20"/>
    <x v="3"/>
    <s v="0332250291"/>
  </r>
  <r>
    <s v="190013122"/>
    <s v="GL Auto Tech"/>
    <x v="4"/>
    <x v="4"/>
    <s v="4227303950"/>
    <d v="2024-10-31T00:00:00"/>
    <n v="10"/>
    <x v="1"/>
    <n v="99545"/>
    <n v="99545"/>
    <n v="19"/>
    <x v="3"/>
    <s v="0332250291"/>
  </r>
  <r>
    <s v="190013545"/>
    <s v="J. L. R. Motors"/>
    <x v="4"/>
    <x v="4"/>
    <s v="4227298621"/>
    <d v="2024-09-30T00:00:00"/>
    <n v="9"/>
    <x v="1"/>
    <n v="27730"/>
    <n v="27730"/>
    <n v="50"/>
    <x v="3"/>
    <s v="0777327575"/>
  </r>
  <r>
    <s v="190013545"/>
    <s v="J. L. R. Motors"/>
    <x v="4"/>
    <x v="4"/>
    <s v="4227298622"/>
    <d v="2024-09-30T00:00:00"/>
    <n v="9"/>
    <x v="1"/>
    <n v="17700"/>
    <n v="17700"/>
    <n v="50"/>
    <x v="3"/>
    <s v="0777327575"/>
  </r>
  <r>
    <s v="190013545"/>
    <s v="J. L. R. Motors"/>
    <x v="4"/>
    <x v="4"/>
    <s v="4227298623"/>
    <d v="2024-09-30T00:00:00"/>
    <n v="9"/>
    <x v="1"/>
    <n v="49772"/>
    <n v="49772"/>
    <n v="50"/>
    <x v="3"/>
    <s v="0777327575"/>
  </r>
  <r>
    <s v="190013546"/>
    <s v="Janaka Motors"/>
    <x v="4"/>
    <x v="4"/>
    <s v="220453"/>
    <d v="2024-02-28T00:00:00"/>
    <n v="2"/>
    <x v="1"/>
    <n v="-20000"/>
    <n v="-11430"/>
    <n v="265"/>
    <x v="1378"/>
    <s v="0779324298"/>
  </r>
  <r>
    <s v="190013546"/>
    <s v="Janaka Motors"/>
    <x v="4"/>
    <x v="4"/>
    <s v="4227251100"/>
    <d v="2023-08-18T00:00:00"/>
    <n v="8"/>
    <x v="0"/>
    <n v="106590"/>
    <n v="5655"/>
    <n v="459"/>
    <x v="1379"/>
    <s v="0779324298"/>
  </r>
  <r>
    <s v="190013546"/>
    <s v="Janaka Motors"/>
    <x v="4"/>
    <x v="4"/>
    <s v="4227253196"/>
    <d v="2023-09-06T00:00:00"/>
    <n v="9"/>
    <x v="0"/>
    <n v="5775"/>
    <n v="5775"/>
    <n v="440"/>
    <x v="1380"/>
    <s v="0779324298"/>
  </r>
  <r>
    <s v="190013546"/>
    <s v="Janaka Motors"/>
    <x v="4"/>
    <x v="4"/>
    <s v="4227276520"/>
    <d v="2024-03-28T00:00:00"/>
    <n v="3"/>
    <x v="1"/>
    <n v="78103"/>
    <n v="2927"/>
    <n v="236"/>
    <x v="1381"/>
    <s v="0779324298"/>
  </r>
  <r>
    <s v="190013546"/>
    <s v="Janaka Motors"/>
    <x v="4"/>
    <x v="4"/>
    <s v="4227278593"/>
    <d v="2024-04-30T00:00:00"/>
    <n v="4"/>
    <x v="1"/>
    <n v="7375"/>
    <n v="7375"/>
    <n v="203"/>
    <x v="1382"/>
    <s v="0779324298"/>
  </r>
  <r>
    <s v="190013546"/>
    <s v="Janaka Motors"/>
    <x v="4"/>
    <x v="4"/>
    <s v="4227278594"/>
    <d v="2024-04-30T00:00:00"/>
    <n v="4"/>
    <x v="1"/>
    <n v="17245"/>
    <n v="17245"/>
    <n v="203"/>
    <x v="1383"/>
    <s v="0779324298"/>
  </r>
  <r>
    <s v="190013546"/>
    <s v="Janaka Motors"/>
    <x v="4"/>
    <x v="4"/>
    <s v="4227290719"/>
    <d v="2024-07-31T00:00:00"/>
    <n v="7"/>
    <x v="1"/>
    <n v="119018"/>
    <n v="69018"/>
    <n v="111"/>
    <x v="1384"/>
    <s v="0779324298"/>
  </r>
  <r>
    <s v="190013546"/>
    <s v="Janaka Motors"/>
    <x v="4"/>
    <x v="4"/>
    <s v="4227291927"/>
    <d v="2024-08-13T00:00:00"/>
    <n v="8"/>
    <x v="1"/>
    <n v="12843"/>
    <n v="12843"/>
    <n v="98"/>
    <x v="1385"/>
    <s v="0779324298"/>
  </r>
  <r>
    <s v="190013548"/>
    <s v="Dream D Enterprises"/>
    <x v="4"/>
    <x v="4"/>
    <s v="4227278692"/>
    <d v="2024-04-30T00:00:00"/>
    <n v="4"/>
    <x v="1"/>
    <n v="318600"/>
    <n v="318600"/>
    <n v="203"/>
    <x v="1386"/>
    <s v="0714527196"/>
  </r>
  <r>
    <s v="190013561"/>
    <s v="Thissa Electricals"/>
    <x v="4"/>
    <x v="4"/>
    <s v="4227290728"/>
    <d v="2024-07-31T00:00:00"/>
    <n v="7"/>
    <x v="1"/>
    <n v="112985"/>
    <n v="79773"/>
    <n v="111"/>
    <x v="1387"/>
    <s v="0332226402"/>
  </r>
  <r>
    <s v="190013561"/>
    <s v="Thissa Electricals"/>
    <x v="4"/>
    <x v="4"/>
    <s v="4227290729"/>
    <d v="2024-07-31T00:00:00"/>
    <n v="7"/>
    <x v="1"/>
    <n v="13664"/>
    <n v="13664"/>
    <n v="111"/>
    <x v="1388"/>
    <s v="0332226402"/>
  </r>
  <r>
    <s v="190013561"/>
    <s v="Thissa Electricals"/>
    <x v="4"/>
    <x v="4"/>
    <s v="4227304476"/>
    <d v="2024-10-31T00:00:00"/>
    <n v="10"/>
    <x v="1"/>
    <n v="119935"/>
    <n v="119935"/>
    <n v="19"/>
    <x v="3"/>
    <s v="0332226402"/>
  </r>
  <r>
    <s v="190013562"/>
    <s v="Imbulana Auto Care"/>
    <x v="4"/>
    <x v="4"/>
    <s v="4227252932"/>
    <d v="2023-09-04T00:00:00"/>
    <n v="9"/>
    <x v="0"/>
    <n v="10110"/>
    <n v="10110"/>
    <n v="442"/>
    <x v="1389"/>
    <s v="0774122797"/>
  </r>
  <r>
    <s v="190013580"/>
    <s v="V S Auto Tech (Pvt) Ltd"/>
    <x v="4"/>
    <x v="4"/>
    <s v="236820"/>
    <d v="2024-09-28T00:00:00"/>
    <n v="9"/>
    <x v="1"/>
    <n v="-2"/>
    <n v="-2"/>
    <n v="52"/>
    <x v="3"/>
    <s v="0777190539"/>
  </r>
  <r>
    <s v="190013580"/>
    <s v="V S Auto Tech (Pvt) Ltd"/>
    <x v="4"/>
    <x v="4"/>
    <s v="236837 / 617025"/>
    <d v="2024-10-24T00:00:00"/>
    <n v="10"/>
    <x v="1"/>
    <n v="-0.4"/>
    <n v="-0.4"/>
    <n v="26"/>
    <x v="3"/>
    <s v="0777190539"/>
  </r>
  <r>
    <s v="190013580"/>
    <s v="V S Auto Tech (Pvt) Ltd"/>
    <x v="4"/>
    <x v="4"/>
    <s v="4227286072"/>
    <d v="2024-06-30T00:00:00"/>
    <n v="6"/>
    <x v="1"/>
    <n v="27527"/>
    <n v="0.36"/>
    <n v="142"/>
    <x v="1390"/>
    <s v="0777190539"/>
  </r>
  <r>
    <s v="190013580"/>
    <s v="V S Auto Tech (Pvt) Ltd"/>
    <x v="4"/>
    <x v="4"/>
    <s v="4227298551"/>
    <d v="2024-09-30T00:00:00"/>
    <n v="9"/>
    <x v="1"/>
    <n v="26243"/>
    <n v="26243"/>
    <n v="50"/>
    <x v="3"/>
    <s v="0777190539"/>
  </r>
  <r>
    <s v="190013580"/>
    <s v="V S Auto Tech (Pvt) Ltd"/>
    <x v="4"/>
    <x v="4"/>
    <s v="4227298553"/>
    <d v="2024-09-30T00:00:00"/>
    <n v="9"/>
    <x v="1"/>
    <n v="50381"/>
    <n v="50381"/>
    <n v="50"/>
    <x v="3"/>
    <s v="0777190539"/>
  </r>
  <r>
    <s v="190013580"/>
    <s v="V S Auto Tech (Pvt) Ltd"/>
    <x v="4"/>
    <x v="4"/>
    <s v="4227300968"/>
    <d v="2024-10-16T00:00:00"/>
    <n v="10"/>
    <x v="1"/>
    <n v="2525"/>
    <n v="2525"/>
    <n v="34"/>
    <x v="3"/>
    <s v="0777190539"/>
  </r>
  <r>
    <s v="190013594"/>
    <s v="Skyline Auto Engineers"/>
    <x v="4"/>
    <x v="4"/>
    <s v="204390/654492"/>
    <d v="2023-07-17T00:00:00"/>
    <n v="7"/>
    <x v="0"/>
    <n v="-887"/>
    <n v="-887"/>
    <n v="491"/>
    <x v="1391"/>
    <s v="0778939155"/>
  </r>
  <r>
    <s v="190013594"/>
    <s v="Skyline Auto Engineers"/>
    <x v="4"/>
    <x v="4"/>
    <s v="231254/807351"/>
    <d v="2024-07-31T00:00:00"/>
    <n v="7"/>
    <x v="1"/>
    <n v="-7732"/>
    <n v="-7732"/>
    <n v="111"/>
    <x v="1392"/>
    <s v="0778939155"/>
  </r>
  <r>
    <s v="190013594"/>
    <s v="Skyline Auto Engineers"/>
    <x v="4"/>
    <x v="4"/>
    <s v="4227240571"/>
    <d v="2023-05-09T00:00:00"/>
    <n v="5"/>
    <x v="0"/>
    <n v="47865"/>
    <n v="2144"/>
    <n v="560"/>
    <x v="1393"/>
    <s v="0778939155"/>
  </r>
  <r>
    <s v="190013594"/>
    <s v="Skyline Auto Engineers"/>
    <x v="4"/>
    <x v="4"/>
    <s v="4227250956"/>
    <d v="2023-08-17T00:00:00"/>
    <n v="8"/>
    <x v="0"/>
    <n v="63551"/>
    <n v="8958"/>
    <n v="460"/>
    <x v="1394"/>
    <s v="0778939155"/>
  </r>
  <r>
    <s v="190013594"/>
    <s v="Skyline Auto Engineers"/>
    <x v="4"/>
    <x v="4"/>
    <s v="4227281038"/>
    <d v="2024-05-18T00:00:00"/>
    <n v="5"/>
    <x v="1"/>
    <n v="31675"/>
    <n v="2183"/>
    <n v="185"/>
    <x v="1395"/>
    <s v="0778939155"/>
  </r>
  <r>
    <s v="190013594"/>
    <s v="Skyline Auto Engineers"/>
    <x v="4"/>
    <x v="4"/>
    <s v="4227290678"/>
    <d v="2024-07-31T00:00:00"/>
    <n v="7"/>
    <x v="1"/>
    <n v="81526"/>
    <n v="766"/>
    <n v="111"/>
    <x v="1396"/>
    <s v="0778939155"/>
  </r>
  <r>
    <s v="190013594"/>
    <s v="Skyline Auto Engineers"/>
    <x v="4"/>
    <x v="4"/>
    <s v="4227303179"/>
    <d v="2024-10-30T00:00:00"/>
    <n v="10"/>
    <x v="1"/>
    <n v="16284"/>
    <n v="16284"/>
    <n v="20"/>
    <x v="3"/>
    <s v="0778939155"/>
  </r>
  <r>
    <s v="190013597"/>
    <s v="A Green Park Car Care"/>
    <x v="4"/>
    <x v="4"/>
    <s v="222608 / 134640"/>
    <d v="2024-03-27T00:00:00"/>
    <n v="3"/>
    <x v="1"/>
    <n v="-24189"/>
    <n v="-3247"/>
    <n v="237"/>
    <x v="1397"/>
    <s v="0332226839"/>
  </r>
  <r>
    <s v="190013597"/>
    <s v="A Green Park Car Care"/>
    <x v="4"/>
    <x v="4"/>
    <s v="225194/016940"/>
    <d v="2024-05-31T00:00:00"/>
    <n v="5"/>
    <x v="1"/>
    <n v="-12462"/>
    <n v="-12462"/>
    <n v="172"/>
    <x v="1398"/>
    <s v="0332226839"/>
  </r>
  <r>
    <s v="190013597"/>
    <s v="A Green Park Car Care"/>
    <x v="4"/>
    <x v="4"/>
    <s v="409 / 114265"/>
    <d v="2023-06-29T00:00:00"/>
    <n v="6"/>
    <x v="0"/>
    <n v="-45798"/>
    <n v="-45798"/>
    <n v="509"/>
    <x v="1399"/>
    <s v="0332226839"/>
  </r>
  <r>
    <s v="190013597"/>
    <s v="A Green Park Car Care"/>
    <x v="4"/>
    <x v="4"/>
    <s v="4227243142"/>
    <d v="2023-05-31T00:00:00"/>
    <n v="5"/>
    <x v="0"/>
    <n v="39308"/>
    <n v="39308"/>
    <n v="538"/>
    <x v="1400"/>
    <s v="0332226839"/>
  </r>
  <r>
    <s v="190013597"/>
    <s v="A Green Park Car Care"/>
    <x v="4"/>
    <x v="4"/>
    <s v="4227262655"/>
    <d v="2023-11-24T00:00:00"/>
    <n v="11"/>
    <x v="0"/>
    <n v="71415"/>
    <n v="71415"/>
    <n v="361"/>
    <x v="1401"/>
    <s v="0332226839"/>
  </r>
  <r>
    <s v="190013597"/>
    <s v="A Green Park Car Care"/>
    <x v="4"/>
    <x v="4"/>
    <s v="4227265616"/>
    <d v="2023-12-28T00:00:00"/>
    <n v="12"/>
    <x v="0"/>
    <n v="14490"/>
    <n v="3919"/>
    <n v="327"/>
    <x v="1402"/>
    <s v="0332226839"/>
  </r>
  <r>
    <s v="190013597"/>
    <s v="A Green Park Car Care"/>
    <x v="4"/>
    <x v="4"/>
    <s v="4227272168"/>
    <d v="2024-02-26T00:00:00"/>
    <n v="2"/>
    <x v="1"/>
    <n v="38970"/>
    <n v="38970"/>
    <n v="267"/>
    <x v="1403"/>
    <s v="0332226839"/>
  </r>
  <r>
    <s v="190013597"/>
    <s v="A Green Park Car Care"/>
    <x v="4"/>
    <x v="4"/>
    <s v="4227275294"/>
    <d v="2024-03-21T00:00:00"/>
    <n v="3"/>
    <x v="1"/>
    <n v="46728"/>
    <n v="4901"/>
    <n v="243"/>
    <x v="1404"/>
    <s v="0332226839"/>
  </r>
  <r>
    <s v="190013597"/>
    <s v="A Green Park Car Care"/>
    <x v="4"/>
    <x v="4"/>
    <s v="4227276682"/>
    <d v="2024-03-28T00:00:00"/>
    <n v="3"/>
    <x v="1"/>
    <n v="17523"/>
    <n v="4220"/>
    <n v="236"/>
    <x v="1405"/>
    <s v="0332226839"/>
  </r>
  <r>
    <s v="190013597"/>
    <s v="A Green Park Car Care"/>
    <x v="4"/>
    <x v="4"/>
    <s v="4227291821"/>
    <d v="2024-08-13T00:00:00"/>
    <n v="8"/>
    <x v="1"/>
    <n v="29736"/>
    <n v="14036.5"/>
    <n v="98"/>
    <x v="1406"/>
    <s v="0332226839"/>
  </r>
  <r>
    <s v="190013597"/>
    <s v="A Green Park Car Care"/>
    <x v="4"/>
    <x v="4"/>
    <s v="4227294253"/>
    <d v="2024-08-29T00:00:00"/>
    <n v="8"/>
    <x v="1"/>
    <n v="98695"/>
    <n v="98695"/>
    <n v="82"/>
    <x v="3"/>
    <s v="0332226839"/>
  </r>
  <r>
    <s v="190013597"/>
    <s v="A Green Park Car Care"/>
    <x v="4"/>
    <x v="4"/>
    <s v="4227294254"/>
    <d v="2024-08-29T00:00:00"/>
    <n v="8"/>
    <x v="1"/>
    <n v="29736"/>
    <n v="29736"/>
    <n v="82"/>
    <x v="3"/>
    <s v="0332226839"/>
  </r>
  <r>
    <s v="190013598"/>
    <s v="Pasyala  Cabs &amp; Tours"/>
    <x v="4"/>
    <x v="4"/>
    <s v="RTN CHQ - 96008"/>
    <d v="2023-05-25T00:00:00"/>
    <n v="5"/>
    <x v="0"/>
    <n v="120582"/>
    <n v="100602"/>
    <n v="544"/>
    <x v="1407"/>
    <s v="0355705705"/>
  </r>
  <r>
    <s v="190013621"/>
    <s v="Prabath Motors And Distributores"/>
    <x v="4"/>
    <x v="4"/>
    <s v="236841/682618"/>
    <d v="2024-10-23T00:00:00"/>
    <n v="10"/>
    <x v="1"/>
    <n v="-17275"/>
    <n v="-17275"/>
    <n v="27"/>
    <x v="3"/>
    <s v="0760944733"/>
  </r>
  <r>
    <s v="190013621"/>
    <s v="Prabath Motors And Distributores"/>
    <x v="4"/>
    <x v="4"/>
    <s v="4227284587"/>
    <d v="2024-06-24T00:00:00"/>
    <n v="6"/>
    <x v="1"/>
    <n v="19470"/>
    <n v="19470"/>
    <n v="148"/>
    <x v="949"/>
    <s v="0760944733"/>
  </r>
  <r>
    <s v="190013621"/>
    <s v="Prabath Motors And Distributores"/>
    <x v="4"/>
    <x v="4"/>
    <s v="4227285392"/>
    <d v="2024-06-28T00:00:00"/>
    <n v="6"/>
    <x v="1"/>
    <n v="137635"/>
    <n v="6018"/>
    <n v="144"/>
    <x v="1408"/>
    <s v="0760944733"/>
  </r>
  <r>
    <s v="190013621"/>
    <s v="Prabath Motors And Distributores"/>
    <x v="4"/>
    <x v="4"/>
    <s v="4227285393"/>
    <d v="2024-06-28T00:00:00"/>
    <n v="6"/>
    <x v="1"/>
    <n v="112147"/>
    <n v="4673"/>
    <n v="144"/>
    <x v="1409"/>
    <s v="0760944733"/>
  </r>
  <r>
    <s v="190013621"/>
    <s v="Prabath Motors And Distributores"/>
    <x v="4"/>
    <x v="4"/>
    <s v="4227304477"/>
    <d v="2024-10-31T00:00:00"/>
    <n v="10"/>
    <x v="1"/>
    <n v="29736"/>
    <n v="29736"/>
    <n v="19"/>
    <x v="3"/>
    <s v="0760944733"/>
  </r>
  <r>
    <s v="190013621"/>
    <s v="Prabath Motors And Distributores"/>
    <x v="4"/>
    <x v="4"/>
    <s v="4227304478"/>
    <d v="2024-10-31T00:00:00"/>
    <n v="10"/>
    <x v="1"/>
    <n v="398179"/>
    <n v="398179"/>
    <n v="19"/>
    <x v="3"/>
    <s v="0760944733"/>
  </r>
  <r>
    <s v="190013621"/>
    <s v="Prabath Motors And Distributores"/>
    <x v="4"/>
    <x v="4"/>
    <s v="4227304479"/>
    <d v="2024-10-31T00:00:00"/>
    <n v="10"/>
    <x v="1"/>
    <n v="8570"/>
    <n v="8570"/>
    <n v="19"/>
    <x v="3"/>
    <s v="0760944733"/>
  </r>
  <r>
    <s v="190013621"/>
    <s v="Prabath Motors And Distributores"/>
    <x v="4"/>
    <x v="4"/>
    <s v="4227304480"/>
    <d v="2024-10-31T00:00:00"/>
    <n v="10"/>
    <x v="1"/>
    <n v="5201"/>
    <n v="5201"/>
    <n v="19"/>
    <x v="3"/>
    <s v="0760944733"/>
  </r>
  <r>
    <s v="190013621"/>
    <s v="Prabath Motors And Distributores"/>
    <x v="4"/>
    <x v="4"/>
    <s v="4227304481"/>
    <d v="2024-10-31T00:00:00"/>
    <n v="10"/>
    <x v="1"/>
    <n v="29736"/>
    <n v="29736"/>
    <n v="19"/>
    <x v="3"/>
    <s v="0760944733"/>
  </r>
  <r>
    <s v="190013672"/>
    <s v="Redact Holdings (Pvt) Ltd"/>
    <x v="4"/>
    <x v="4"/>
    <s v="228389"/>
    <d v="2024-06-30T00:00:00"/>
    <n v="6"/>
    <x v="1"/>
    <n v="-2487"/>
    <n v="-2487"/>
    <n v="142"/>
    <x v="1410"/>
    <s v="0332222477"/>
  </r>
  <r>
    <s v="190013672"/>
    <s v="Redact Holdings (Pvt) Ltd"/>
    <x v="4"/>
    <x v="4"/>
    <s v="4227246252"/>
    <d v="2023-06-30T00:00:00"/>
    <n v="6"/>
    <x v="0"/>
    <n v="61830"/>
    <n v="26985"/>
    <n v="508"/>
    <x v="1411"/>
    <s v="0332222477"/>
  </r>
  <r>
    <s v="190013672"/>
    <s v="Redact Holdings (Pvt) Ltd"/>
    <x v="4"/>
    <x v="4"/>
    <s v="4227246253"/>
    <d v="2023-06-30T00:00:00"/>
    <n v="6"/>
    <x v="0"/>
    <n v="34424"/>
    <n v="423"/>
    <n v="508"/>
    <x v="1412"/>
    <s v="0332222477"/>
  </r>
  <r>
    <s v="190013863"/>
    <s v="Sameera Cycle Works"/>
    <x v="4"/>
    <x v="4"/>
    <s v="4227252256"/>
    <d v="2023-08-29T00:00:00"/>
    <n v="8"/>
    <x v="0"/>
    <n v="22080"/>
    <n v="15000"/>
    <n v="448"/>
    <x v="1413"/>
    <s v="0718456802"/>
  </r>
  <r>
    <s v="190013999"/>
    <s v="Battery House (Pvt) Ltd"/>
    <x v="4"/>
    <x v="4"/>
    <s v="4227277416"/>
    <d v="2024-04-09T00:00:00"/>
    <n v="4"/>
    <x v="1"/>
    <n v="102495"/>
    <n v="3495"/>
    <n v="224"/>
    <x v="1414"/>
    <s v="0778038351"/>
  </r>
  <r>
    <s v="190013999"/>
    <s v="Battery House (Pvt) Ltd"/>
    <x v="4"/>
    <x v="4"/>
    <s v="4227291929"/>
    <d v="2024-08-13T00:00:00"/>
    <n v="8"/>
    <x v="1"/>
    <n v="56640"/>
    <n v="56640"/>
    <n v="98"/>
    <x v="330"/>
    <s v="0778038351"/>
  </r>
  <r>
    <s v="190014005"/>
    <s v="Seyota Nest"/>
    <x v="4"/>
    <x v="4"/>
    <s v="4227302275"/>
    <d v="2024-10-25T00:00:00"/>
    <n v="10"/>
    <x v="1"/>
    <n v="11328"/>
    <n v="11328"/>
    <n v="25"/>
    <x v="3"/>
    <s v="0710899983"/>
  </r>
  <r>
    <s v="190014005"/>
    <s v="Seyota Nest"/>
    <x v="4"/>
    <x v="4"/>
    <s v="4227303182"/>
    <d v="2024-10-30T00:00:00"/>
    <n v="10"/>
    <x v="1"/>
    <n v="8850"/>
    <n v="8850"/>
    <n v="20"/>
    <x v="3"/>
    <s v="0710899983"/>
  </r>
  <r>
    <s v="190014005"/>
    <s v="Seyota Nest"/>
    <x v="4"/>
    <x v="4"/>
    <s v="4227305024"/>
    <d v="2024-11-07T00:00:00"/>
    <n v="11"/>
    <x v="1"/>
    <n v="104265"/>
    <n v="104265"/>
    <n v="12"/>
    <x v="3"/>
    <s v="0710899983"/>
  </r>
  <r>
    <s v="190014005"/>
    <s v="Seyota Nest"/>
    <x v="4"/>
    <x v="4"/>
    <s v="4227305395"/>
    <d v="2024-11-11T00:00:00"/>
    <n v="11"/>
    <x v="1"/>
    <n v="21240"/>
    <n v="21240"/>
    <n v="8"/>
    <x v="3"/>
    <s v="0710899983"/>
  </r>
  <r>
    <s v="190014034"/>
    <s v="C. H. Auto Accessories"/>
    <x v="4"/>
    <x v="4"/>
    <s v="230240"/>
    <d v="2024-07-30T00:00:00"/>
    <n v="7"/>
    <x v="1"/>
    <n v="-42921"/>
    <n v="-42921"/>
    <n v="112"/>
    <x v="1415"/>
    <s v="0706976173"/>
  </r>
  <r>
    <s v="190014034"/>
    <s v="C. H. Auto Accessories"/>
    <x v="4"/>
    <x v="4"/>
    <s v="4227286014"/>
    <d v="2024-06-30T00:00:00"/>
    <n v="6"/>
    <x v="1"/>
    <n v="46020"/>
    <n v="46020"/>
    <n v="142"/>
    <x v="676"/>
    <s v="0706976173"/>
  </r>
  <r>
    <s v="190014034"/>
    <s v="C. H. Auto Accessories"/>
    <x v="4"/>
    <x v="4"/>
    <s v="4227293678"/>
    <d v="2024-08-27T00:00:00"/>
    <n v="8"/>
    <x v="1"/>
    <n v="61791"/>
    <n v="61791"/>
    <n v="84"/>
    <x v="3"/>
    <s v="0706976173"/>
  </r>
  <r>
    <s v="190014034"/>
    <s v="C. H. Auto Accessories"/>
    <x v="4"/>
    <x v="4"/>
    <s v="4227294938"/>
    <d v="2024-08-31T00:00:00"/>
    <n v="8"/>
    <x v="1"/>
    <n v="79650"/>
    <n v="79650"/>
    <n v="80"/>
    <x v="3"/>
    <s v="0706976173"/>
  </r>
  <r>
    <s v="190014102"/>
    <s v="Dawala Auto Care"/>
    <x v="4"/>
    <x v="4"/>
    <s v="4227257471"/>
    <d v="2023-10-07T00:00:00"/>
    <n v="10"/>
    <x v="0"/>
    <n v="52406"/>
    <n v="5244"/>
    <n v="409"/>
    <x v="1416"/>
    <s v="0714566264"/>
  </r>
  <r>
    <s v="190014102"/>
    <s v="Dawala Auto Care"/>
    <x v="4"/>
    <x v="4"/>
    <s v="4227258398"/>
    <d v="2023-10-18T00:00:00"/>
    <n v="10"/>
    <x v="0"/>
    <n v="7728"/>
    <n v="7728"/>
    <n v="398"/>
    <x v="1417"/>
    <s v="0714566264"/>
  </r>
  <r>
    <s v="190014102"/>
    <s v="Dawala Auto Care"/>
    <x v="4"/>
    <x v="4"/>
    <s v="4227258408"/>
    <d v="2023-10-18T00:00:00"/>
    <n v="10"/>
    <x v="0"/>
    <n v="7728"/>
    <n v="7728"/>
    <n v="398"/>
    <x v="1417"/>
    <s v="0714566264"/>
  </r>
  <r>
    <s v="190014102"/>
    <s v="Dawala Auto Care"/>
    <x v="4"/>
    <x v="4"/>
    <s v="4227287014"/>
    <d v="2024-07-11T00:00:00"/>
    <n v="7"/>
    <x v="1"/>
    <n v="13688"/>
    <n v="0"/>
    <n v="131"/>
    <x v="345"/>
    <s v="0714566264"/>
  </r>
  <r>
    <s v="190014102"/>
    <s v="Dawala Auto Care"/>
    <x v="4"/>
    <x v="4"/>
    <s v="4227290731"/>
    <d v="2024-07-31T00:00:00"/>
    <n v="7"/>
    <x v="1"/>
    <n v="56640"/>
    <n v="56640"/>
    <n v="111"/>
    <x v="330"/>
    <s v="0714566264"/>
  </r>
  <r>
    <s v="190014102"/>
    <s v="Dawala Auto Care"/>
    <x v="4"/>
    <x v="4"/>
    <s v="4227297252"/>
    <d v="2024-09-20T00:00:00"/>
    <n v="9"/>
    <x v="1"/>
    <n v="63720"/>
    <n v="63720"/>
    <n v="60"/>
    <x v="3"/>
    <s v="0714566264"/>
  </r>
  <r>
    <s v="190014102"/>
    <s v="Dawala Auto Care"/>
    <x v="4"/>
    <x v="4"/>
    <s v="4227297253"/>
    <d v="2024-09-20T00:00:00"/>
    <n v="9"/>
    <x v="1"/>
    <n v="51283"/>
    <n v="51283"/>
    <n v="60"/>
    <x v="3"/>
    <s v="0714566264"/>
  </r>
  <r>
    <s v="190014102"/>
    <s v="Dawala Auto Care"/>
    <x v="4"/>
    <x v="4"/>
    <s v="4227297254"/>
    <d v="2024-09-20T00:00:00"/>
    <n v="9"/>
    <x v="1"/>
    <n v="49665"/>
    <n v="49665"/>
    <n v="60"/>
    <x v="3"/>
    <s v="0714566264"/>
  </r>
  <r>
    <s v="190014102"/>
    <s v="Dawala Auto Care"/>
    <x v="4"/>
    <x v="4"/>
    <s v="4227297255"/>
    <d v="2024-09-20T00:00:00"/>
    <n v="9"/>
    <x v="1"/>
    <n v="13216"/>
    <n v="13216"/>
    <n v="60"/>
    <x v="3"/>
    <s v="0714566264"/>
  </r>
  <r>
    <s v="190014102"/>
    <s v="Dawala Auto Care"/>
    <x v="4"/>
    <x v="4"/>
    <s v="4227298056"/>
    <d v="2024-09-27T00:00:00"/>
    <n v="9"/>
    <x v="1"/>
    <n v="99545"/>
    <n v="99545"/>
    <n v="53"/>
    <x v="3"/>
    <s v="0714566264"/>
  </r>
  <r>
    <s v="190014102"/>
    <s v="Dawala Auto Care"/>
    <x v="4"/>
    <x v="4"/>
    <s v="4227304466"/>
    <d v="2024-10-31T00:00:00"/>
    <n v="10"/>
    <x v="1"/>
    <n v="20060"/>
    <n v="20060"/>
    <n v="19"/>
    <x v="3"/>
    <s v="0714566264"/>
  </r>
  <r>
    <s v="190014102"/>
    <s v="Dawala Auto Care"/>
    <x v="4"/>
    <x v="4"/>
    <s v="4227304467"/>
    <d v="2024-10-31T00:00:00"/>
    <n v="10"/>
    <x v="1"/>
    <n v="55054"/>
    <n v="55054"/>
    <n v="19"/>
    <x v="3"/>
    <s v="0714566264"/>
  </r>
  <r>
    <s v="190014102"/>
    <s v="Dawala Auto Care"/>
    <x v="4"/>
    <x v="4"/>
    <s v="4227304468"/>
    <d v="2024-10-31T00:00:00"/>
    <n v="10"/>
    <x v="1"/>
    <n v="51920"/>
    <n v="51920"/>
    <n v="19"/>
    <x v="3"/>
    <s v="0714566264"/>
  </r>
  <r>
    <s v="190014102"/>
    <s v="Dawala Auto Care"/>
    <x v="4"/>
    <x v="4"/>
    <s v="4227304469"/>
    <d v="2024-10-31T00:00:00"/>
    <n v="10"/>
    <x v="1"/>
    <n v="31223"/>
    <n v="31223"/>
    <n v="19"/>
    <x v="3"/>
    <s v="0714566264"/>
  </r>
  <r>
    <s v="190014332"/>
    <s v="Susantha Motor Traders"/>
    <x v="4"/>
    <x v="4"/>
    <s v="4227272628"/>
    <d v="2024-02-28T00:00:00"/>
    <n v="2"/>
    <x v="1"/>
    <n v="25233"/>
    <n v="4460"/>
    <n v="265"/>
    <x v="1418"/>
    <s v="0775755985"/>
  </r>
  <r>
    <s v="190014332"/>
    <s v="Susantha Motor Traders"/>
    <x v="4"/>
    <x v="4"/>
    <s v="4227290807"/>
    <d v="2024-08-01T00:00:00"/>
    <n v="8"/>
    <x v="1"/>
    <n v="33485"/>
    <n v="33485"/>
    <n v="110"/>
    <x v="1419"/>
    <s v="0775755985"/>
  </r>
  <r>
    <s v="190014332"/>
    <s v="Susantha Motor Traders"/>
    <x v="4"/>
    <x v="4"/>
    <s v="4227292037"/>
    <d v="2024-08-14T00:00:00"/>
    <n v="8"/>
    <x v="1"/>
    <n v="2974"/>
    <n v="2974"/>
    <n v="97"/>
    <x v="1420"/>
    <s v="0775755985"/>
  </r>
  <r>
    <s v="190014332"/>
    <s v="Susantha Motor Traders"/>
    <x v="4"/>
    <x v="4"/>
    <s v="5227015552"/>
    <d v="2024-09-06T00:00:00"/>
    <n v="9"/>
    <x v="1"/>
    <n v="-4460"/>
    <n v="-4460"/>
    <n v="74"/>
    <x v="3"/>
    <s v="0775755985"/>
  </r>
  <r>
    <s v="190014333"/>
    <s v="Sri Lanka Motors"/>
    <x v="4"/>
    <x v="4"/>
    <s v="4227290725"/>
    <d v="2024-07-31T00:00:00"/>
    <n v="7"/>
    <x v="1"/>
    <n v="11328"/>
    <n v="11328"/>
    <n v="111"/>
    <x v="449"/>
    <s v="0772391782"/>
  </r>
  <r>
    <s v="190014333"/>
    <s v="Sri Lanka Motors"/>
    <x v="4"/>
    <x v="4"/>
    <s v="4227290726"/>
    <d v="2024-07-31T00:00:00"/>
    <n v="7"/>
    <x v="1"/>
    <n v="24886"/>
    <n v="24886"/>
    <n v="111"/>
    <x v="954"/>
    <s v="0772391782"/>
  </r>
  <r>
    <s v="190014333"/>
    <s v="Sri Lanka Motors"/>
    <x v="4"/>
    <x v="4"/>
    <s v="4227290727"/>
    <d v="2024-07-31T00:00:00"/>
    <n v="7"/>
    <x v="1"/>
    <n v="24886"/>
    <n v="24886"/>
    <n v="111"/>
    <x v="954"/>
    <s v="0772391782"/>
  </r>
  <r>
    <s v="190014345"/>
    <s v="Swap Car Care"/>
    <x v="4"/>
    <x v="4"/>
    <s v="4227281929"/>
    <d v="2024-05-29T00:00:00"/>
    <n v="5"/>
    <x v="1"/>
    <n v="124608"/>
    <n v="62304"/>
    <n v="174"/>
    <x v="1421"/>
    <s v="0777460241"/>
  </r>
  <r>
    <s v="190014347"/>
    <s v="Wishwa Motors"/>
    <x v="4"/>
    <x v="4"/>
    <s v="4227290597"/>
    <d v="2024-07-31T00:00:00"/>
    <n v="7"/>
    <x v="1"/>
    <n v="28320"/>
    <n v="28320"/>
    <n v="111"/>
    <x v="353"/>
    <s v="0777250257"/>
  </r>
  <r>
    <s v="190014388"/>
    <s v="H. H. Trading"/>
    <x v="4"/>
    <x v="4"/>
    <s v="4227276162"/>
    <d v="2024-03-27T00:00:00"/>
    <n v="3"/>
    <x v="1"/>
    <n v="9676"/>
    <n v="9676"/>
    <n v="237"/>
    <x v="1422"/>
    <s v="0716234264"/>
  </r>
  <r>
    <s v="190014388"/>
    <s v="H. H. Trading"/>
    <x v="4"/>
    <x v="4"/>
    <s v="4227276589"/>
    <d v="2024-03-28T00:00:00"/>
    <n v="3"/>
    <x v="1"/>
    <n v="6608"/>
    <n v="6608"/>
    <n v="236"/>
    <x v="684"/>
    <s v="0716234264"/>
  </r>
  <r>
    <s v="190014388"/>
    <s v="H. H. Trading"/>
    <x v="4"/>
    <x v="4"/>
    <s v="4227279714"/>
    <d v="2024-05-08T00:00:00"/>
    <n v="5"/>
    <x v="1"/>
    <n v="1479"/>
    <n v="1479"/>
    <n v="195"/>
    <x v="1423"/>
    <s v="0716234264"/>
  </r>
  <r>
    <s v="190014412"/>
    <s v="S. N Auto Mart"/>
    <x v="4"/>
    <x v="4"/>
    <s v="4227293374"/>
    <d v="2024-08-26T00:00:00"/>
    <n v="8"/>
    <x v="1"/>
    <n v="49998"/>
    <n v="2726"/>
    <n v="85"/>
    <x v="3"/>
    <s v="076797221"/>
  </r>
  <r>
    <s v="190014412"/>
    <s v="S. N Auto Mart"/>
    <x v="4"/>
    <x v="4"/>
    <s v="4227298558"/>
    <d v="2024-09-30T00:00:00"/>
    <n v="9"/>
    <x v="1"/>
    <n v="10863"/>
    <n v="9062"/>
    <n v="50"/>
    <x v="3"/>
    <s v="076797221"/>
  </r>
  <r>
    <s v="190014412"/>
    <s v="S. N Auto Mart"/>
    <x v="4"/>
    <x v="4"/>
    <s v="4227302554"/>
    <d v="2024-10-28T00:00:00"/>
    <n v="10"/>
    <x v="1"/>
    <n v="5782"/>
    <n v="5782"/>
    <n v="22"/>
    <x v="3"/>
    <s v="076797221"/>
  </r>
  <r>
    <s v="190014477"/>
    <s v="Hydromobile Engineering"/>
    <x v="4"/>
    <x v="4"/>
    <s v=""/>
    <d v="2024-06-28T00:00:00"/>
    <n v="6"/>
    <x v="1"/>
    <n v="5263.29"/>
    <n v="5263.29"/>
    <n v="144"/>
    <x v="1424"/>
    <s v="0712586065"/>
  </r>
  <r>
    <s v="190014477"/>
    <s v="Hydromobile Engineering"/>
    <x v="4"/>
    <x v="4"/>
    <s v="4227276010"/>
    <d v="2024-03-27T00:00:00"/>
    <n v="3"/>
    <x v="1"/>
    <n v="372820"/>
    <n v="-10585"/>
    <n v="237"/>
    <x v="1425"/>
    <s v="0712586065"/>
  </r>
  <r>
    <s v="190014477"/>
    <s v="Hydromobile Engineering"/>
    <x v="4"/>
    <x v="4"/>
    <s v="4227276685"/>
    <d v="2024-03-28T00:00:00"/>
    <n v="3"/>
    <x v="1"/>
    <n v="67175"/>
    <n v="30383"/>
    <n v="236"/>
    <x v="1426"/>
    <s v="0712586065"/>
  </r>
  <r>
    <s v="190014477"/>
    <s v="Hydromobile Engineering"/>
    <x v="4"/>
    <x v="4"/>
    <s v="4227278601"/>
    <d v="2024-04-30T00:00:00"/>
    <n v="4"/>
    <x v="1"/>
    <n v="38338"/>
    <n v="38338"/>
    <n v="203"/>
    <x v="1427"/>
    <s v="0712586065"/>
  </r>
  <r>
    <s v="190014477"/>
    <s v="Hydromobile Engineering"/>
    <x v="4"/>
    <x v="4"/>
    <s v="4227279713"/>
    <d v="2024-05-08T00:00:00"/>
    <n v="5"/>
    <x v="1"/>
    <n v="13423"/>
    <n v="13423"/>
    <n v="195"/>
    <x v="1428"/>
    <s v="0712586065"/>
  </r>
  <r>
    <s v="190014477"/>
    <s v="Hydromobile Engineering"/>
    <x v="4"/>
    <x v="4"/>
    <s v="4227286017"/>
    <d v="2024-06-30T00:00:00"/>
    <n v="6"/>
    <x v="1"/>
    <n v="76464"/>
    <n v="25644"/>
    <n v="142"/>
    <x v="1429"/>
    <s v="0712586065"/>
  </r>
  <r>
    <s v="190014477"/>
    <s v="Hydromobile Engineering"/>
    <x v="4"/>
    <x v="4"/>
    <s v="4227298777"/>
    <d v="2024-09-30T00:00:00"/>
    <n v="9"/>
    <x v="1"/>
    <n v="56640"/>
    <n v="56640"/>
    <n v="50"/>
    <x v="3"/>
    <s v="0712586065"/>
  </r>
  <r>
    <s v="190014477"/>
    <s v="Hydromobile Engineering"/>
    <x v="4"/>
    <x v="4"/>
    <s v="4227298778"/>
    <d v="2024-09-30T00:00:00"/>
    <n v="9"/>
    <x v="1"/>
    <n v="53397"/>
    <n v="53397"/>
    <n v="50"/>
    <x v="3"/>
    <s v="0712586065"/>
  </r>
  <r>
    <s v="190014477"/>
    <s v="Hydromobile Engineering"/>
    <x v="4"/>
    <x v="4"/>
    <s v="4227298810"/>
    <d v="2024-09-30T00:00:00"/>
    <n v="9"/>
    <x v="1"/>
    <n v="199090"/>
    <n v="199090"/>
    <n v="50"/>
    <x v="3"/>
    <s v="0712586065"/>
  </r>
  <r>
    <s v="190014477"/>
    <s v="Hydromobile Engineering"/>
    <x v="4"/>
    <x v="4"/>
    <s v="4227298811"/>
    <d v="2024-09-30T00:00:00"/>
    <n v="9"/>
    <x v="1"/>
    <n v="86276"/>
    <n v="86276"/>
    <n v="50"/>
    <x v="3"/>
    <s v="0712586065"/>
  </r>
  <r>
    <s v="190014538"/>
    <s v="Universal Auto Mart (Pvt) Ltd."/>
    <x v="4"/>
    <x v="4"/>
    <s v="4227276592"/>
    <d v="2024-03-28T00:00:00"/>
    <n v="3"/>
    <x v="1"/>
    <n v="38326"/>
    <n v="25700"/>
    <n v="236"/>
    <x v="1430"/>
    <s v="0773588406"/>
  </r>
  <r>
    <s v="190014631"/>
    <s v="Sinuri Auto Park"/>
    <x v="4"/>
    <x v="4"/>
    <s v="4227303347"/>
    <d v="2024-10-30T00:00:00"/>
    <n v="10"/>
    <x v="1"/>
    <n v="18408"/>
    <n v="18408"/>
    <n v="20"/>
    <x v="3"/>
    <s v="0777303177"/>
  </r>
  <r>
    <s v="190014701"/>
    <s v="New Yuhansa Motors"/>
    <x v="4"/>
    <x v="4"/>
    <s v="236815"/>
    <d v="2024-09-30T00:00:00"/>
    <n v="9"/>
    <x v="1"/>
    <n v="-3732"/>
    <n v="-3732"/>
    <n v="50"/>
    <x v="3"/>
    <s v="0716900873"/>
  </r>
  <r>
    <s v="190014701"/>
    <s v="New Yuhansa Motors"/>
    <x v="4"/>
    <x v="4"/>
    <s v="4227282102"/>
    <d v="2024-05-30T00:00:00"/>
    <n v="5"/>
    <x v="1"/>
    <n v="72431"/>
    <n v="24431"/>
    <n v="173"/>
    <x v="1431"/>
    <s v="0716900873"/>
  </r>
  <r>
    <s v="190014701"/>
    <s v="New Yuhansa Motors"/>
    <x v="4"/>
    <x v="4"/>
    <s v="4227290247"/>
    <d v="2024-07-31T00:00:00"/>
    <n v="7"/>
    <x v="1"/>
    <n v="1593"/>
    <n v="1593"/>
    <n v="111"/>
    <x v="1432"/>
    <s v="0716900873"/>
  </r>
  <r>
    <s v="190014703"/>
    <s v="Ganemulla Motors"/>
    <x v="4"/>
    <x v="4"/>
    <s v="4227297739"/>
    <d v="2024-09-26T00:00:00"/>
    <n v="9"/>
    <x v="1"/>
    <n v="16822"/>
    <n v="16822"/>
    <n v="54"/>
    <x v="3"/>
    <s v="0779868272"/>
  </r>
  <r>
    <s v="190014703"/>
    <s v="Ganemulla Motors"/>
    <x v="4"/>
    <x v="4"/>
    <s v="4227297903"/>
    <d v="2024-09-26T00:00:00"/>
    <n v="9"/>
    <x v="1"/>
    <n v="8411"/>
    <n v="8411"/>
    <n v="54"/>
    <x v="3"/>
    <s v="0779868272"/>
  </r>
  <r>
    <s v="190014703"/>
    <s v="Ganemulla Motors"/>
    <x v="4"/>
    <x v="4"/>
    <s v="4227304484"/>
    <d v="2024-10-31T00:00:00"/>
    <n v="10"/>
    <x v="1"/>
    <n v="16284"/>
    <n v="16284"/>
    <n v="19"/>
    <x v="3"/>
    <s v="0779868272"/>
  </r>
  <r>
    <s v="190014703"/>
    <s v="Ganemulla Motors"/>
    <x v="4"/>
    <x v="4"/>
    <s v="4227304485"/>
    <d v="2024-10-31T00:00:00"/>
    <n v="10"/>
    <x v="1"/>
    <n v="28320"/>
    <n v="28320"/>
    <n v="19"/>
    <x v="3"/>
    <s v="0779868272"/>
  </r>
  <r>
    <s v="190014703"/>
    <s v="Ganemulla Motors"/>
    <x v="4"/>
    <x v="4"/>
    <s v="4227304486"/>
    <d v="2024-10-31T00:00:00"/>
    <n v="10"/>
    <x v="1"/>
    <n v="21134"/>
    <n v="21134"/>
    <n v="19"/>
    <x v="3"/>
    <s v="0779868272"/>
  </r>
  <r>
    <s v="190014704"/>
    <s v="Turbo House"/>
    <x v="4"/>
    <x v="4"/>
    <s v="4227282105"/>
    <d v="2024-05-30T00:00:00"/>
    <n v="5"/>
    <x v="1"/>
    <n v="27931"/>
    <n v="12931"/>
    <n v="173"/>
    <x v="1433"/>
    <s v="0712570878"/>
  </r>
  <r>
    <s v="190014718"/>
    <s v="Oath Auto Engineering"/>
    <x v="4"/>
    <x v="4"/>
    <s v="231281"/>
    <d v="2024-08-23T00:00:00"/>
    <n v="8"/>
    <x v="1"/>
    <n v="-1500"/>
    <n v="-1500"/>
    <n v="88"/>
    <x v="3"/>
    <s v="0758236701"/>
  </r>
  <r>
    <s v="190014718"/>
    <s v="Oath Auto Engineering"/>
    <x v="4"/>
    <x v="4"/>
    <s v="4227282606"/>
    <d v="2024-05-31T00:00:00"/>
    <n v="5"/>
    <x v="1"/>
    <n v="11818"/>
    <n v="11818"/>
    <n v="172"/>
    <x v="1434"/>
    <s v="0758236701"/>
  </r>
  <r>
    <s v="190014773"/>
    <s v="M. N. Car Wash"/>
    <x v="4"/>
    <x v="4"/>
    <s v="4227285968"/>
    <d v="2024-06-29T00:00:00"/>
    <n v="6"/>
    <x v="1"/>
    <n v="282610"/>
    <n v="174994"/>
    <n v="143"/>
    <x v="1435"/>
    <s v="0754435319"/>
  </r>
  <r>
    <s v="190014813"/>
    <s v="Star Auto Park"/>
    <x v="4"/>
    <x v="4"/>
    <s v="4227285183"/>
    <d v="2024-06-28T00:00:00"/>
    <n v="6"/>
    <x v="1"/>
    <n v="38262"/>
    <n v="1148"/>
    <n v="144"/>
    <x v="1436"/>
    <s v="0705080822"/>
  </r>
  <r>
    <s v="190014813"/>
    <s v="Star Auto Park"/>
    <x v="4"/>
    <x v="4"/>
    <s v="4227293152"/>
    <d v="2024-08-23T00:00:00"/>
    <n v="8"/>
    <x v="1"/>
    <n v="32285"/>
    <n v="32285"/>
    <n v="88"/>
    <x v="3"/>
    <s v="0705080822"/>
  </r>
  <r>
    <s v="190014813"/>
    <s v="Star Auto Park"/>
    <x v="4"/>
    <x v="4"/>
    <s v="4227294675"/>
    <d v="2024-08-30T00:00:00"/>
    <n v="8"/>
    <x v="1"/>
    <n v="11493"/>
    <n v="11493"/>
    <n v="81"/>
    <x v="3"/>
    <s v="0705080822"/>
  </r>
  <r>
    <s v="190014814"/>
    <s v="Creative Auto Care"/>
    <x v="4"/>
    <x v="4"/>
    <s v="236840"/>
    <d v="2024-10-18T00:00:00"/>
    <n v="10"/>
    <x v="1"/>
    <n v="-24886"/>
    <n v="-24886"/>
    <n v="32"/>
    <x v="3"/>
    <s v="0779406799"/>
  </r>
  <r>
    <s v="190014814"/>
    <s v="Creative Auto Care"/>
    <x v="4"/>
    <x v="4"/>
    <s v="4227285112"/>
    <d v="2024-06-27T00:00:00"/>
    <n v="6"/>
    <x v="1"/>
    <n v="24886"/>
    <n v="24886"/>
    <n v="145"/>
    <x v="954"/>
    <s v="0779406799"/>
  </r>
  <r>
    <s v="190014814"/>
    <s v="Creative Auto Care"/>
    <x v="4"/>
    <x v="4"/>
    <s v="4227305788"/>
    <d v="2024-11-13T00:00:00"/>
    <n v="11"/>
    <x v="1"/>
    <n v="119935"/>
    <n v="119935"/>
    <n v="6"/>
    <x v="3"/>
    <s v="0779406799"/>
  </r>
  <r>
    <s v="190014850"/>
    <s v="Nissanka Auto Hub (Pvt) Ltd"/>
    <x v="4"/>
    <x v="4"/>
    <s v="4227287761"/>
    <d v="2024-07-17T00:00:00"/>
    <n v="7"/>
    <x v="1"/>
    <n v="106815"/>
    <n v="11815"/>
    <n v="125"/>
    <x v="1437"/>
    <s v="0760226695"/>
  </r>
  <r>
    <s v="190014940"/>
    <s v="Wijesiri Enterprises"/>
    <x v="4"/>
    <x v="4"/>
    <s v="4227297953"/>
    <d v="2024-09-27T00:00:00"/>
    <n v="9"/>
    <x v="1"/>
    <n v="6797"/>
    <n v="0"/>
    <n v="53"/>
    <x v="3"/>
    <s v="0776601604"/>
  </r>
  <r>
    <s v="190015029"/>
    <s v="Laksara Auto Parts &amp; Oil Mart"/>
    <x v="4"/>
    <x v="4"/>
    <s v="4227292875"/>
    <d v="2024-08-21T00:00:00"/>
    <n v="8"/>
    <x v="1"/>
    <n v="8567"/>
    <n v="8567"/>
    <n v="90"/>
    <x v="1438"/>
    <s v="0774001939"/>
  </r>
  <r>
    <s v="190015030"/>
    <s v="Rathnakumara Tyres &amp; Motors"/>
    <x v="4"/>
    <x v="4"/>
    <s v="4227300561"/>
    <d v="2024-10-14T00:00:00"/>
    <n v="10"/>
    <x v="1"/>
    <n v="6490"/>
    <n v="6490"/>
    <n v="36"/>
    <x v="3"/>
    <s v="0772277242"/>
  </r>
  <r>
    <s v="190015031"/>
    <s v="The Agri Auto Parts"/>
    <x v="4"/>
    <x v="4"/>
    <s v="4227292867"/>
    <d v="2024-08-21T00:00:00"/>
    <n v="8"/>
    <x v="1"/>
    <n v="37655"/>
    <n v="37655"/>
    <n v="90"/>
    <x v="1439"/>
    <s v="0717939650"/>
  </r>
  <r>
    <s v="190015051"/>
    <s v="Prabath Motors"/>
    <x v="4"/>
    <x v="4"/>
    <s v="4227293280"/>
    <d v="2024-08-24T00:00:00"/>
    <n v="8"/>
    <x v="1"/>
    <n v="22302"/>
    <n v="22302"/>
    <n v="87"/>
    <x v="3"/>
    <s v="0716846544"/>
  </r>
  <r>
    <s v="190015099"/>
    <s v="Kevin Motors"/>
    <x v="4"/>
    <x v="4"/>
    <s v="4227294063"/>
    <d v="2024-08-28T00:00:00"/>
    <n v="8"/>
    <x v="1"/>
    <n v="28320"/>
    <n v="13320"/>
    <n v="83"/>
    <x v="3"/>
    <s v="0768059164"/>
  </r>
  <r>
    <s v="190015100"/>
    <s v="Modern Automobile"/>
    <x v="4"/>
    <x v="4"/>
    <s v="4227294160"/>
    <d v="2024-08-29T00:00:00"/>
    <n v="8"/>
    <x v="1"/>
    <n v="83047"/>
    <n v="64414"/>
    <n v="82"/>
    <x v="3"/>
    <s v="0776484106"/>
  </r>
  <r>
    <s v="190015100"/>
    <s v="Modern Automobile"/>
    <x v="4"/>
    <x v="4"/>
    <s v="4227299260"/>
    <d v="2024-10-03T00:00:00"/>
    <n v="10"/>
    <x v="1"/>
    <n v="27527"/>
    <n v="27527"/>
    <n v="47"/>
    <x v="3"/>
    <s v="0776484106"/>
  </r>
  <r>
    <s v="190015100"/>
    <s v="Modern Automobile"/>
    <x v="4"/>
    <x v="4"/>
    <s v="4227300213"/>
    <d v="2024-10-11T00:00:00"/>
    <n v="10"/>
    <x v="1"/>
    <n v="1770"/>
    <n v="1770"/>
    <n v="39"/>
    <x v="3"/>
    <s v="0776484106"/>
  </r>
  <r>
    <s v="190015100"/>
    <s v="Modern Automobile"/>
    <x v="4"/>
    <x v="4"/>
    <s v="4227304365"/>
    <d v="2024-10-31T00:00:00"/>
    <n v="10"/>
    <x v="1"/>
    <n v="16048"/>
    <n v="16048"/>
    <n v="19"/>
    <x v="3"/>
    <s v="0776484106"/>
  </r>
  <r>
    <s v="190015233"/>
    <s v="S. M. Motor Traders"/>
    <x v="4"/>
    <x v="4"/>
    <s v="4227300559"/>
    <d v="2024-10-14T00:00:00"/>
    <n v="10"/>
    <x v="1"/>
    <n v="9006"/>
    <n v="9006"/>
    <n v="36"/>
    <x v="3"/>
    <s v="0777416860"/>
  </r>
  <r>
    <s v="190015484"/>
    <s v="G. A. T. Motor Mart"/>
    <x v="4"/>
    <x v="4"/>
    <s v="4227300357"/>
    <d v="2024-10-11T00:00:00"/>
    <n v="10"/>
    <x v="1"/>
    <n v="9695"/>
    <n v="9695"/>
    <n v="39"/>
    <x v="3"/>
    <s v="0758560913"/>
  </r>
  <r>
    <s v="190015485"/>
    <s v="Sakura Multi Traders"/>
    <x v="4"/>
    <x v="4"/>
    <s v="4227299910"/>
    <d v="2024-10-09T00:00:00"/>
    <n v="10"/>
    <x v="1"/>
    <n v="28013"/>
    <n v="28013"/>
    <n v="41"/>
    <x v="3"/>
    <s v="0713416568"/>
  </r>
  <r>
    <s v="190015486"/>
    <s v="S. B. F. Aircon Engineering"/>
    <x v="4"/>
    <x v="4"/>
    <s v="4227299914"/>
    <d v="2024-10-09T00:00:00"/>
    <n v="10"/>
    <x v="1"/>
    <n v="31860"/>
    <n v="0"/>
    <n v="41"/>
    <x v="3"/>
    <s v="0777433146"/>
  </r>
  <r>
    <s v="190015502"/>
    <s v="Speed Car Repair And Service Center"/>
    <x v="4"/>
    <x v="4"/>
    <s v="4227301386"/>
    <d v="2024-10-21T00:00:00"/>
    <n v="10"/>
    <x v="1"/>
    <n v="6744"/>
    <n v="6744"/>
    <n v="29"/>
    <x v="3"/>
    <s v="0714758758"/>
  </r>
  <r>
    <s v="190015580"/>
    <s v="Jayakodi Enterprises"/>
    <x v="4"/>
    <x v="4"/>
    <s v="4227300643"/>
    <d v="2024-10-14T00:00:00"/>
    <n v="10"/>
    <x v="1"/>
    <n v="5192"/>
    <n v="5192"/>
    <n v="36"/>
    <x v="3"/>
    <s v="0776542608"/>
  </r>
  <r>
    <s v="190015720"/>
    <s v="S. P. Auto A/c"/>
    <x v="4"/>
    <x v="4"/>
    <s v="4227302471"/>
    <d v="2024-10-26T00:00:00"/>
    <n v="10"/>
    <x v="1"/>
    <n v="31860"/>
    <n v="31860"/>
    <n v="24"/>
    <x v="3"/>
    <s v="0774144107"/>
  </r>
  <r>
    <s v="190015722"/>
    <s v="Yakkala Oil Mart"/>
    <x v="4"/>
    <x v="4"/>
    <s v="4227302146"/>
    <d v="2024-10-24T00:00:00"/>
    <n v="10"/>
    <x v="1"/>
    <n v="8609"/>
    <n v="8609"/>
    <n v="26"/>
    <x v="3"/>
    <s v="0712437581"/>
  </r>
  <r>
    <s v="190015799"/>
    <s v="Madara Enterprises"/>
    <x v="4"/>
    <x v="4"/>
    <s v="4227303200"/>
    <d v="2024-10-30T00:00:00"/>
    <n v="10"/>
    <x v="1"/>
    <n v="13063"/>
    <n v="13063"/>
    <n v="20"/>
    <x v="3"/>
    <s v="0705705777"/>
  </r>
  <r>
    <s v="190015855"/>
    <s v="Auto Prob Solution"/>
    <x v="4"/>
    <x v="4"/>
    <s v="4227303961"/>
    <d v="2024-10-31T00:00:00"/>
    <n v="10"/>
    <x v="1"/>
    <n v="44118"/>
    <n v="44118"/>
    <n v="19"/>
    <x v="3"/>
    <s v="0712826451"/>
  </r>
  <r>
    <s v="190015860"/>
    <s v="Senadeera Motors &amp; Oil Mart"/>
    <x v="4"/>
    <x v="4"/>
    <s v="4227303883"/>
    <d v="2024-10-31T00:00:00"/>
    <n v="10"/>
    <x v="1"/>
    <n v="27815"/>
    <n v="27815"/>
    <n v="19"/>
    <x v="3"/>
    <s v="0788839448"/>
  </r>
  <r>
    <s v="190015873"/>
    <s v="Anagi Properties Sales"/>
    <x v="4"/>
    <x v="4"/>
    <s v="4227304050"/>
    <d v="2024-10-31T00:00:00"/>
    <n v="10"/>
    <x v="1"/>
    <n v="35211"/>
    <n v="35211"/>
    <n v="19"/>
    <x v="3"/>
    <s v="0711989999"/>
  </r>
  <r>
    <s v="190015883"/>
    <s v="Shiene Plus Car Point"/>
    <x v="4"/>
    <x v="4"/>
    <s v="4227304052"/>
    <d v="2024-10-31T00:00:00"/>
    <n v="10"/>
    <x v="1"/>
    <n v="15391"/>
    <n v="15391"/>
    <n v="19"/>
    <x v="3"/>
    <s v="0113690069"/>
  </r>
  <r>
    <s v="190015884"/>
    <s v="Dalugoda And Sons Motor Works"/>
    <x v="4"/>
    <x v="4"/>
    <s v="4227304053"/>
    <d v="2024-10-31T00:00:00"/>
    <n v="10"/>
    <x v="1"/>
    <n v="31421"/>
    <n v="31421"/>
    <n v="19"/>
    <x v="3"/>
    <s v="0782792536"/>
  </r>
  <r>
    <s v="190015891"/>
    <s v="Grand Auto Service"/>
    <x v="4"/>
    <x v="4"/>
    <s v="4227304079"/>
    <d v="2024-10-31T00:00:00"/>
    <n v="10"/>
    <x v="1"/>
    <n v="7788"/>
    <n v="7788"/>
    <n v="19"/>
    <x v="3"/>
    <s v="0775270241"/>
  </r>
  <r>
    <s v=""/>
    <s v=""/>
    <x v="5"/>
    <x v="5"/>
    <s v=""/>
    <m/>
    <m/>
    <x v="7"/>
    <n v="21107198.120000001"/>
    <n v="15007406.73"/>
    <n v="45615"/>
    <x v="3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6647C-95D4-486C-860C-B802BFCC3F45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DM Name">
  <location ref="B4:K11" firstHeaderRow="1" firstDataRow="2" firstDataCol="2"/>
  <pivotFields count="13">
    <pivotField showAll="0"/>
    <pivotField showAll="0"/>
    <pivotField axis="axisRow" outline="0" showAll="0" defaultSubtotal="0">
      <items count="6">
        <item x="4"/>
        <item x="0"/>
        <item x="1"/>
        <item x="2"/>
        <item x="3"/>
        <item h="1" x="5"/>
      </items>
    </pivotField>
    <pivotField axis="axisRow" showAll="0">
      <items count="7">
        <item x="4"/>
        <item x="3"/>
        <item x="2"/>
        <item x="1"/>
        <item x="0"/>
        <item x="5"/>
        <item t="default"/>
      </items>
    </pivotField>
    <pivotField showAll="0"/>
    <pivotField numFmtId="165" showAll="0"/>
    <pivotField showAll="0"/>
    <pivotField axis="axisCol" showAll="0">
      <items count="9">
        <item x="5"/>
        <item x="3"/>
        <item x="4"/>
        <item x="6"/>
        <item x="0"/>
        <item x="1"/>
        <item n="2025" x="2"/>
        <item x="7"/>
        <item t="default"/>
      </items>
    </pivotField>
    <pivotField numFmtId="4" showAll="0"/>
    <pivotField dataField="1" numFmtId="4" showAll="0"/>
    <pivotField showAll="0"/>
    <pivotField showAll="0">
      <items count="1441">
        <item x="920"/>
        <item x="113"/>
        <item x="916"/>
        <item x="467"/>
        <item x="918"/>
        <item x="944"/>
        <item x="248"/>
        <item x="110"/>
        <item x="233"/>
        <item x="298"/>
        <item x="614"/>
        <item x="29"/>
        <item x="734"/>
        <item x="175"/>
        <item x="612"/>
        <item x="1009"/>
        <item x="610"/>
        <item x="1399"/>
        <item x="288"/>
        <item x="1415"/>
        <item x="810"/>
        <item x="602"/>
        <item x="112"/>
        <item x="880"/>
        <item x="915"/>
        <item x="797"/>
        <item x="271"/>
        <item x="770"/>
        <item x="611"/>
        <item x="168"/>
        <item x="917"/>
        <item x="166"/>
        <item x="1213"/>
        <item x="795"/>
        <item x="1339"/>
        <item x="358"/>
        <item x="975"/>
        <item x="332"/>
        <item x="921"/>
        <item x="490"/>
        <item x="503"/>
        <item x="235"/>
        <item x="193"/>
        <item x="844"/>
        <item x="984"/>
        <item x="306"/>
        <item x="843"/>
        <item x="1208"/>
        <item x="98"/>
        <item x="582"/>
        <item x="111"/>
        <item x="35"/>
        <item x="174"/>
        <item x="27"/>
        <item x="240"/>
        <item x="637"/>
        <item x="1398"/>
        <item x="5"/>
        <item x="1378"/>
        <item x="729"/>
        <item x="247"/>
        <item x="1425"/>
        <item x="505"/>
        <item x="60"/>
        <item x="1258"/>
        <item x="1291"/>
        <item x="26"/>
        <item x="1392"/>
        <item x="1257"/>
        <item x="803"/>
        <item x="791"/>
        <item x="1256"/>
        <item x="609"/>
        <item x="28"/>
        <item x="535"/>
        <item x="243"/>
        <item x="982"/>
        <item x="974"/>
        <item x="1304"/>
        <item x="165"/>
        <item x="194"/>
        <item x="547"/>
        <item x="246"/>
        <item x="659"/>
        <item x="1313"/>
        <item x="983"/>
        <item x="831"/>
        <item x="854"/>
        <item x="771"/>
        <item x="665"/>
        <item x="173"/>
        <item x="1397"/>
        <item x="658"/>
        <item x="301"/>
        <item x="1410"/>
        <item x="776"/>
        <item x="191"/>
        <item x="397"/>
        <item x="1373"/>
        <item x="716"/>
        <item x="862"/>
        <item x="933"/>
        <item x="777"/>
        <item x="919"/>
        <item x="737"/>
        <item x="689"/>
        <item x="563"/>
        <item x="1094"/>
        <item x="387"/>
        <item x="601"/>
        <item x="1010"/>
        <item x="564"/>
        <item x="1361"/>
        <item x="61"/>
        <item x="1255"/>
        <item x="1391"/>
        <item x="1221"/>
        <item x="425"/>
        <item x="778"/>
        <item x="192"/>
        <item x="1171"/>
        <item x="169"/>
        <item x="1194"/>
        <item x="691"/>
        <item x="1154"/>
        <item x="1072"/>
        <item x="696"/>
        <item x="1146"/>
        <item x="316"/>
        <item x="367"/>
        <item x="1301"/>
        <item x="879"/>
        <item x="167"/>
        <item x="645"/>
        <item x="587"/>
        <item x="172"/>
        <item x="44"/>
        <item x="786"/>
        <item x="867"/>
        <item x="424"/>
        <item x="440"/>
        <item x="596"/>
        <item x="1212"/>
        <item x="713"/>
        <item x="818"/>
        <item x="935"/>
        <item x="1066"/>
        <item x="6"/>
        <item x="291"/>
        <item x="789"/>
        <item x="648"/>
        <item x="195"/>
        <item x="643"/>
        <item x="832"/>
        <item x="498"/>
        <item x="345"/>
        <item x="76"/>
        <item x="83"/>
        <item x="75"/>
        <item x="2"/>
        <item x="1390"/>
        <item x="618"/>
        <item x="370"/>
        <item x="773"/>
        <item x="718"/>
        <item x="519"/>
        <item x="432"/>
        <item x="1230"/>
        <item x="295"/>
        <item x="1237"/>
        <item x="331"/>
        <item x="307"/>
        <item x="814"/>
        <item x="333"/>
        <item x="197"/>
        <item x="383"/>
        <item x="566"/>
        <item x="378"/>
        <item x="376"/>
        <item x="1025"/>
        <item x="299"/>
        <item x="997"/>
        <item x="1172"/>
        <item x="325"/>
        <item x="1151"/>
        <item x="575"/>
        <item x="840"/>
        <item x="552"/>
        <item x="1294"/>
        <item x="792"/>
        <item x="116"/>
        <item x="497"/>
        <item x="671"/>
        <item x="454"/>
        <item x="996"/>
        <item x="825"/>
        <item x="381"/>
        <item x="695"/>
        <item x="401"/>
        <item x="1412"/>
        <item x="1247"/>
        <item x="1027"/>
        <item x="1048"/>
        <item x="453"/>
        <item x="1191"/>
        <item x="1227"/>
        <item x="68"/>
        <item x="1272"/>
        <item x="41"/>
        <item x="625"/>
        <item x="632"/>
        <item x="1226"/>
        <item x="281"/>
        <item x="1006"/>
        <item x="487"/>
        <item x="845"/>
        <item x="384"/>
        <item x="646"/>
        <item x="420"/>
        <item x="203"/>
        <item x="272"/>
        <item x="942"/>
        <item x="717"/>
        <item x="1033"/>
        <item x="273"/>
        <item x="1024"/>
        <item x="362"/>
        <item x="1197"/>
        <item x="414"/>
        <item x="812"/>
        <item x="549"/>
        <item x="1112"/>
        <item x="209"/>
        <item x="492"/>
        <item x="714"/>
        <item x="319"/>
        <item x="1356"/>
        <item x="1223"/>
        <item x="922"/>
        <item x="1162"/>
        <item x="1366"/>
        <item x="1278"/>
        <item x="1290"/>
        <item x="621"/>
        <item x="1368"/>
        <item x="780"/>
        <item x="426"/>
        <item x="1396"/>
        <item x="620"/>
        <item x="199"/>
        <item x="619"/>
        <item x="447"/>
        <item x="569"/>
        <item x="283"/>
        <item x="1130"/>
        <item x="720"/>
        <item x="666"/>
        <item x="1326"/>
        <item x="363"/>
        <item x="802"/>
        <item x="326"/>
        <item x="1377"/>
        <item x="1312"/>
        <item x="934"/>
        <item x="310"/>
        <item x="1163"/>
        <item x="507"/>
        <item x="171"/>
        <item x="499"/>
        <item x="765"/>
        <item x="502"/>
        <item x="1098"/>
        <item x="375"/>
        <item x="403"/>
        <item x="904"/>
        <item x="245"/>
        <item x="1084"/>
        <item x="382"/>
        <item x="1225"/>
        <item x="757"/>
        <item x="1331"/>
        <item x="1220"/>
        <item x="570"/>
        <item x="1436"/>
        <item x="1376"/>
        <item x="1236"/>
        <item x="1241"/>
        <item x="553"/>
        <item x="104"/>
        <item x="881"/>
        <item x="571"/>
        <item x="626"/>
        <item x="627"/>
        <item x="343"/>
        <item x="1253"/>
        <item x="1096"/>
        <item x="450"/>
        <item x="1132"/>
        <item x="1082"/>
        <item x="361"/>
        <item x="1152"/>
        <item x="796"/>
        <item x="615"/>
        <item x="588"/>
        <item x="1423"/>
        <item x="485"/>
        <item x="800"/>
        <item x="481"/>
        <item x="754"/>
        <item x="694"/>
        <item x="1169"/>
        <item x="1114"/>
        <item x="1113"/>
        <item x="1432"/>
        <item x="624"/>
        <item x="1238"/>
        <item x="349"/>
        <item x="858"/>
        <item x="1348"/>
        <item x="744"/>
        <item x="1156"/>
        <item x="405"/>
        <item x="1240"/>
        <item x="1300"/>
        <item x="372"/>
        <item x="1337"/>
        <item x="855"/>
        <item x="1359"/>
        <item x="379"/>
        <item x="572"/>
        <item x="1138"/>
        <item x="71"/>
        <item x="1005"/>
        <item x="186"/>
        <item x="189"/>
        <item x="693"/>
        <item x="1369"/>
        <item x="1338"/>
        <item x="661"/>
        <item x="1341"/>
        <item x="1393"/>
        <item x="1363"/>
        <item x="1395"/>
        <item x="529"/>
        <item x="1165"/>
        <item x="1185"/>
        <item x="1360"/>
        <item x="574"/>
        <item x="337"/>
        <item x="279"/>
        <item x="63"/>
        <item x="779"/>
        <item x="42"/>
        <item x="1193"/>
        <item x="1106"/>
        <item x="902"/>
        <item x="819"/>
        <item x="69"/>
        <item x="973"/>
        <item x="1296"/>
        <item x="622"/>
        <item x="1334"/>
        <item x="1211"/>
        <item x="888"/>
        <item x="62"/>
        <item x="943"/>
        <item x="590"/>
        <item x="1178"/>
        <item x="1081"/>
        <item x="496"/>
        <item x="623"/>
        <item x="568"/>
        <item x="887"/>
        <item x="178"/>
        <item x="772"/>
        <item x="364"/>
        <item x="827"/>
        <item x="1189"/>
        <item x="1381"/>
        <item x="395"/>
        <item x="1045"/>
        <item x="1420"/>
        <item x="1270"/>
        <item x="520"/>
        <item x="1298"/>
        <item x="1046"/>
        <item x="576"/>
        <item x="70"/>
        <item x="828"/>
        <item x="1354"/>
        <item x="903"/>
        <item x="1180"/>
        <item x="531"/>
        <item x="1057"/>
        <item x="841"/>
        <item x="1345"/>
        <item x="408"/>
        <item x="886"/>
        <item x="1070"/>
        <item x="1414"/>
        <item x="285"/>
        <item x="767"/>
        <item x="971"/>
        <item x="787"/>
        <item x="360"/>
        <item x="1279"/>
        <item x="1340"/>
        <item x="232"/>
        <item x="451"/>
        <item x="969"/>
        <item x="829"/>
        <item x="1175"/>
        <item x="905"/>
        <item x="1371"/>
        <item x="290"/>
        <item x="565"/>
        <item x="1283"/>
        <item x="1105"/>
        <item x="30"/>
        <item x="1264"/>
        <item x="1402"/>
        <item x="280"/>
        <item x="274"/>
        <item x="338"/>
        <item x="861"/>
        <item x="1129"/>
        <item x="721"/>
        <item x="294"/>
        <item x="1054"/>
        <item x="369"/>
        <item x="292"/>
        <item x="377"/>
        <item x="989"/>
        <item x="187"/>
        <item x="1405"/>
        <item x="1128"/>
        <item x="1202"/>
        <item x="1259"/>
        <item x="651"/>
        <item x="1321"/>
        <item x="1122"/>
        <item x="1176"/>
        <item x="463"/>
        <item x="404"/>
        <item x="889"/>
        <item x="1039"/>
        <item x="1418"/>
        <item x="1101"/>
        <item x="945"/>
        <item x="554"/>
        <item x="460"/>
        <item x="1232"/>
        <item x="124"/>
        <item x="907"/>
        <item x="1262"/>
        <item x="1224"/>
        <item x="305"/>
        <item x="101"/>
        <item x="1409"/>
        <item x="1100"/>
        <item x="177"/>
        <item x="1173"/>
        <item x="629"/>
        <item x="763"/>
        <item x="494"/>
        <item x="242"/>
        <item x="1177"/>
        <item x="1281"/>
        <item x="539"/>
        <item x="573"/>
        <item x="958"/>
        <item x="1404"/>
        <item x="589"/>
        <item x="959"/>
        <item x="1285"/>
        <item x="202"/>
        <item x="788"/>
        <item x="493"/>
        <item x="826"/>
        <item x="427"/>
        <item x="804"/>
        <item x="278"/>
        <item x="119"/>
        <item x="1333"/>
        <item x="286"/>
        <item x="931"/>
        <item x="567"/>
        <item x="102"/>
        <item x="1416"/>
        <item x="445"/>
        <item x="1424"/>
        <item x="206"/>
        <item x="391"/>
        <item x="701"/>
        <item x="437"/>
        <item x="1099"/>
        <item x="228"/>
        <item x="752"/>
        <item x="476"/>
        <item x="1205"/>
        <item x="446"/>
        <item x="1153"/>
        <item x="1222"/>
        <item x="848"/>
        <item x="1379"/>
        <item x="821"/>
        <item x="1157"/>
        <item x="230"/>
        <item x="417"/>
        <item x="755"/>
        <item x="866"/>
        <item x="1058"/>
        <item x="1260"/>
        <item x="399"/>
        <item x="1271"/>
        <item x="1380"/>
        <item x="250"/>
        <item x="746"/>
        <item x="635"/>
        <item x="1004"/>
        <item x="662"/>
        <item x="988"/>
        <item x="1133"/>
        <item x="1344"/>
        <item x="591"/>
        <item x="1408"/>
        <item x="335"/>
        <item x="1143"/>
        <item x="413"/>
        <item x="1266"/>
        <item x="1085"/>
        <item x="284"/>
        <item x="1355"/>
        <item x="262"/>
        <item x="1218"/>
        <item x="1280"/>
        <item x="1303"/>
        <item x="972"/>
        <item x="536"/>
        <item x="1318"/>
        <item x="1196"/>
        <item x="218"/>
        <item x="479"/>
        <item x="1083"/>
        <item x="642"/>
        <item x="1250"/>
        <item x="99"/>
        <item x="392"/>
        <item x="653"/>
        <item x="1167"/>
        <item x="231"/>
        <item x="538"/>
        <item x="743"/>
        <item x="684"/>
        <item x="1040"/>
        <item x="555"/>
        <item x="1210"/>
        <item x="398"/>
        <item x="1215"/>
        <item x="443"/>
        <item x="1200"/>
        <item x="438"/>
        <item x="523"/>
        <item x="1055"/>
        <item x="597"/>
        <item x="1219"/>
        <item x="416"/>
        <item x="217"/>
        <item x="33"/>
        <item x="1147"/>
        <item x="599"/>
        <item x="1148"/>
        <item x="322"/>
        <item x="537"/>
        <item x="1239"/>
        <item x="1382"/>
        <item x="253"/>
        <item x="652"/>
        <item x="328"/>
        <item x="1102"/>
        <item x="647"/>
        <item x="244"/>
        <item x="1087"/>
        <item x="835"/>
        <item x="80"/>
        <item x="1417"/>
        <item x="282"/>
        <item x="769"/>
        <item x="833"/>
        <item x="448"/>
        <item x="1022"/>
        <item x="1265"/>
        <item x="304"/>
        <item x="1268"/>
        <item x="373"/>
        <item x="185"/>
        <item x="1261"/>
        <item x="222"/>
        <item x="1316"/>
        <item x="1086"/>
        <item x="524"/>
        <item x="1287"/>
        <item x="990"/>
        <item x="1346"/>
        <item x="179"/>
        <item x="937"/>
        <item x="394"/>
        <item x="1145"/>
        <item x="1438"/>
        <item x="52"/>
        <item x="1121"/>
        <item x="170"/>
        <item x="249"/>
        <item x="393"/>
        <item x="633"/>
        <item x="1126"/>
        <item x="1246"/>
        <item x="302"/>
        <item x="181"/>
        <item x="719"/>
        <item x="1394"/>
        <item x="43"/>
        <item x="1317"/>
        <item x="1166"/>
        <item x="815"/>
        <item x="489"/>
        <item x="125"/>
        <item x="700"/>
        <item x="264"/>
        <item x="667"/>
        <item x="869"/>
        <item x="219"/>
        <item x="1342"/>
        <item x="805"/>
        <item x="540"/>
        <item x="1422"/>
        <item x="1199"/>
        <item x="1233"/>
        <item x="53"/>
        <item x="839"/>
        <item x="726"/>
        <item x="1323"/>
        <item x="506"/>
        <item x="436"/>
        <item x="548"/>
        <item x="660"/>
        <item x="1030"/>
        <item x="875"/>
        <item x="616"/>
        <item x="59"/>
        <item x="1123"/>
        <item x="368"/>
        <item x="806"/>
        <item x="1389"/>
        <item x="1274"/>
        <item x="742"/>
        <item x="710"/>
        <item x="1305"/>
        <item x="236"/>
        <item x="782"/>
        <item x="1155"/>
        <item x="1139"/>
        <item x="807"/>
        <item x="184"/>
        <item x="410"/>
        <item x="214"/>
        <item x="340"/>
        <item x="50"/>
        <item x="745"/>
        <item x="748"/>
        <item x="234"/>
        <item x="1286"/>
        <item x="1245"/>
        <item x="883"/>
        <item x="79"/>
        <item x="176"/>
        <item x="977"/>
        <item x="1228"/>
        <item x="386"/>
        <item x="981"/>
        <item x="311"/>
        <item x="1077"/>
        <item x="456"/>
        <item x="0"/>
        <item x="449"/>
        <item x="758"/>
        <item x="811"/>
        <item x="1174"/>
        <item x="1277"/>
        <item x="1289"/>
        <item x="1263"/>
        <item x="275"/>
        <item x="735"/>
        <item x="400"/>
        <item x="84"/>
        <item x="1273"/>
        <item x="1234"/>
        <item x="600"/>
        <item x="706"/>
        <item x="884"/>
        <item x="530"/>
        <item x="1437"/>
        <item x="1434"/>
        <item x="1186"/>
        <item x="533"/>
        <item x="687"/>
        <item x="444"/>
        <item x="45"/>
        <item x="1288"/>
        <item x="820"/>
        <item x="501"/>
        <item x="221"/>
        <item x="1275"/>
        <item x="912"/>
        <item x="906"/>
        <item x="471"/>
        <item x="327"/>
        <item x="682"/>
        <item x="208"/>
        <item x="592"/>
        <item x="1370"/>
        <item x="1347"/>
        <item x="1201"/>
        <item x="1385"/>
        <item x="1433"/>
        <item x="725"/>
        <item x="324"/>
        <item x="705"/>
        <item x="1299"/>
        <item x="1229"/>
        <item x="252"/>
        <item x="91"/>
        <item x="528"/>
        <item x="380"/>
        <item x="351"/>
        <item x="986"/>
        <item x="321"/>
        <item x="241"/>
        <item x="1428"/>
        <item x="897"/>
        <item x="799"/>
        <item x="850"/>
        <item x="551"/>
        <item x="277"/>
        <item x="1388"/>
        <item x="908"/>
        <item x="1203"/>
        <item x="712"/>
        <item x="579"/>
        <item x="1043"/>
        <item x="1358"/>
        <item x="1367"/>
        <item x="300"/>
        <item x="205"/>
        <item x="1406"/>
        <item x="14"/>
        <item x="1109"/>
        <item x="790"/>
        <item x="406"/>
        <item x="422"/>
        <item x="7"/>
        <item x="409"/>
        <item x="1375"/>
        <item x="849"/>
        <item x="595"/>
        <item x="1314"/>
        <item x="341"/>
        <item x="688"/>
        <item x="749"/>
        <item x="768"/>
        <item x="276"/>
        <item x="89"/>
        <item x="359"/>
        <item x="54"/>
        <item x="21"/>
        <item x="1254"/>
        <item x="890"/>
        <item x="1056"/>
        <item x="649"/>
        <item x="293"/>
        <item x="764"/>
        <item x="1302"/>
        <item x="580"/>
        <item x="798"/>
        <item x="1352"/>
        <item x="1206"/>
        <item x="952"/>
        <item x="1413"/>
        <item x="1249"/>
        <item x="475"/>
        <item x="418"/>
        <item x="603"/>
        <item x="1330"/>
        <item x="896"/>
        <item x="1042"/>
        <item x="978"/>
        <item x="8"/>
        <item x="699"/>
        <item x="429"/>
        <item x="1023"/>
        <item x="1327"/>
        <item x="336"/>
        <item x="669"/>
        <item x="961"/>
        <item x="103"/>
        <item x="980"/>
        <item x="1047"/>
        <item x="1244"/>
        <item x="415"/>
        <item x="962"/>
        <item x="683"/>
        <item x="878"/>
        <item x="36"/>
        <item x="834"/>
        <item x="628"/>
        <item x="428"/>
        <item x="223"/>
        <item x="1251"/>
        <item x="1164"/>
        <item x="357"/>
        <item x="1252"/>
        <item x="389"/>
        <item x="1168"/>
        <item x="23"/>
        <item x="895"/>
        <item x="188"/>
        <item x="657"/>
        <item x="852"/>
        <item x="1311"/>
        <item x="1074"/>
        <item x="677"/>
        <item x="1119"/>
        <item x="315"/>
        <item x="374"/>
        <item x="1104"/>
        <item x="1383"/>
        <item x="704"/>
        <item x="4"/>
        <item x="1306"/>
        <item x="513"/>
        <item x="510"/>
        <item x="1135"/>
        <item x="963"/>
        <item x="350"/>
        <item x="738"/>
        <item x="312"/>
        <item x="702"/>
        <item x="1269"/>
        <item x="1062"/>
        <item x="1284"/>
        <item x="606"/>
        <item x="1118"/>
        <item x="1131"/>
        <item x="207"/>
        <item x="686"/>
        <item x="953"/>
        <item x="407"/>
        <item x="1041"/>
        <item x="1089"/>
        <item x="1127"/>
        <item x="289"/>
        <item x="1188"/>
        <item x="681"/>
        <item x="644"/>
        <item x="781"/>
        <item x="182"/>
        <item x="1322"/>
        <item x="541"/>
        <item x="1297"/>
        <item x="190"/>
        <item x="1214"/>
        <item x="318"/>
        <item x="1336"/>
        <item x="679"/>
        <item x="1142"/>
        <item x="1187"/>
        <item x="809"/>
        <item x="342"/>
        <item x="269"/>
        <item x="670"/>
        <item x="856"/>
        <item x="1365"/>
        <item x="120"/>
        <item x="255"/>
        <item x="641"/>
        <item x="949"/>
        <item x="1111"/>
        <item x="1110"/>
        <item x="88"/>
        <item x="257"/>
        <item x="1190"/>
        <item x="728"/>
        <item x="317"/>
        <item x="1309"/>
        <item x="1141"/>
        <item x="482"/>
        <item x="472"/>
        <item x="617"/>
        <item x="388"/>
        <item x="478"/>
        <item x="794"/>
        <item x="143"/>
        <item x="258"/>
        <item x="268"/>
        <item x="994"/>
        <item x="976"/>
        <item x="584"/>
        <item x="1357"/>
        <item x="1207"/>
        <item x="968"/>
        <item x="1209"/>
        <item x="423"/>
        <item x="747"/>
        <item x="1267"/>
        <item x="598"/>
        <item x="558"/>
        <item x="992"/>
        <item x="196"/>
        <item x="1136"/>
        <item x="308"/>
        <item x="1310"/>
        <item x="894"/>
        <item x="1276"/>
        <item x="864"/>
        <item x="938"/>
        <item x="251"/>
        <item x="950"/>
        <item x="18"/>
        <item x="1179"/>
        <item x="951"/>
        <item x="442"/>
        <item x="1324"/>
        <item x="441"/>
        <item x="1036"/>
        <item x="100"/>
        <item x="784"/>
        <item x="226"/>
        <item x="1235"/>
        <item x="830"/>
        <item x="105"/>
        <item x="1117"/>
        <item x="1351"/>
        <item x="1243"/>
        <item x="892"/>
        <item x="1182"/>
        <item x="57"/>
        <item x="673"/>
        <item x="999"/>
        <item x="1231"/>
        <item x="210"/>
        <item x="1292"/>
        <item x="885"/>
        <item x="914"/>
        <item x="1071"/>
        <item x="356"/>
        <item x="1017"/>
        <item x="130"/>
        <item x="477"/>
        <item x="859"/>
        <item x="966"/>
        <item x="458"/>
        <item x="775"/>
        <item x="1372"/>
        <item x="1431"/>
        <item x="1137"/>
        <item x="198"/>
        <item x="1160"/>
        <item x="419"/>
        <item x="913"/>
        <item x="954"/>
        <item x="1350"/>
        <item x="868"/>
        <item x="354"/>
        <item x="656"/>
        <item x="703"/>
        <item x="663"/>
        <item x="1161"/>
        <item x="421"/>
        <item x="813"/>
        <item x="131"/>
        <item x="1429"/>
        <item x="774"/>
        <item x="1430"/>
        <item x="135"/>
        <item x="49"/>
        <item x="1329"/>
        <item x="1018"/>
        <item x="1069"/>
        <item x="634"/>
        <item x="1044"/>
        <item x="1242"/>
        <item x="287"/>
        <item x="585"/>
        <item x="67"/>
        <item x="1411"/>
        <item x="1184"/>
        <item x="650"/>
        <item x="39"/>
        <item x="365"/>
        <item x="960"/>
        <item x="1149"/>
        <item x="516"/>
        <item x="32"/>
        <item x="1192"/>
        <item x="766"/>
        <item x="927"/>
        <item x="87"/>
        <item x="925"/>
        <item x="353"/>
        <item x="753"/>
        <item x="544"/>
        <item x="709"/>
        <item x="215"/>
        <item x="993"/>
        <item x="201"/>
        <item x="1248"/>
        <item x="893"/>
        <item x="823"/>
        <item x="1095"/>
        <item x="1097"/>
        <item x="157"/>
        <item x="909"/>
        <item x="1144"/>
        <item x="1076"/>
        <item x="1064"/>
        <item x="640"/>
        <item x="692"/>
        <item x="910"/>
        <item x="1426"/>
        <item x="483"/>
        <item x="402"/>
        <item x="1320"/>
        <item x="556"/>
        <item x="1002"/>
        <item x="20"/>
        <item x="808"/>
        <item x="500"/>
        <item x="785"/>
        <item x="204"/>
        <item x="160"/>
        <item x="1335"/>
        <item x="385"/>
        <item x="593"/>
        <item x="334"/>
        <item x="12"/>
        <item x="508"/>
        <item x="90"/>
        <item x="583"/>
        <item x="344"/>
        <item x="1315"/>
        <item x="1093"/>
        <item x="1419"/>
        <item x="1107"/>
        <item x="224"/>
        <item x="314"/>
        <item x="636"/>
        <item x="329"/>
        <item x="1282"/>
        <item x="1328"/>
        <item x="783"/>
        <item x="123"/>
        <item x="58"/>
        <item x="78"/>
        <item x="1029"/>
        <item x="225"/>
        <item x="352"/>
        <item x="133"/>
        <item x="1021"/>
        <item x="577"/>
        <item x="1120"/>
        <item x="488"/>
        <item x="1031"/>
        <item x="578"/>
        <item x="390"/>
        <item x="534"/>
        <item x="1134"/>
        <item x="355"/>
        <item x="16"/>
        <item x="512"/>
        <item x="1116"/>
        <item x="824"/>
        <item x="96"/>
        <item x="936"/>
        <item x="411"/>
        <item x="183"/>
        <item x="690"/>
        <item x="1124"/>
        <item x="517"/>
        <item x="1439"/>
        <item x="882"/>
        <item x="678"/>
        <item x="371"/>
        <item x="865"/>
        <item x="707"/>
        <item x="898"/>
        <item x="871"/>
        <item x="1195"/>
        <item x="1427"/>
        <item x="1073"/>
        <item x="339"/>
        <item x="1403"/>
        <item x="9"/>
        <item x="65"/>
        <item x="1400"/>
        <item x="1115"/>
        <item x="1108"/>
        <item x="581"/>
        <item x="17"/>
        <item x="473"/>
        <item x="213"/>
        <item x="817"/>
        <item x="560"/>
        <item x="227"/>
        <item x="216"/>
        <item x="956"/>
        <item x="518"/>
        <item x="1343"/>
        <item x="857"/>
        <item x="995"/>
        <item x="605"/>
        <item x="557"/>
        <item x="435"/>
        <item x="674"/>
        <item x="396"/>
        <item x="941"/>
        <item x="521"/>
        <item x="532"/>
        <item x="1000"/>
        <item x="468"/>
        <item x="940"/>
        <item x="1038"/>
        <item x="991"/>
        <item x="1183"/>
        <item x="970"/>
        <item x="469"/>
        <item x="947"/>
        <item x="1068"/>
        <item x="846"/>
        <item x="66"/>
        <item x="926"/>
        <item x="838"/>
        <item x="323"/>
        <item x="267"/>
        <item x="1014"/>
        <item x="1003"/>
        <item x="676"/>
        <item x="107"/>
        <item x="153"/>
        <item x="1075"/>
        <item x="967"/>
        <item x="64"/>
        <item x="837"/>
        <item x="853"/>
        <item x="470"/>
        <item x="455"/>
        <item x="156"/>
        <item x="816"/>
        <item x="964"/>
        <item x="132"/>
        <item x="151"/>
        <item x="948"/>
        <item x="1065"/>
        <item x="439"/>
        <item x="461"/>
        <item x="38"/>
        <item x="638"/>
        <item x="11"/>
        <item x="1140"/>
        <item x="1216"/>
        <item x="320"/>
        <item x="366"/>
        <item x="51"/>
        <item x="741"/>
        <item x="664"/>
        <item x="1362"/>
        <item x="1217"/>
        <item x="630"/>
        <item x="870"/>
        <item x="1007"/>
        <item x="1170"/>
        <item x="220"/>
        <item x="211"/>
        <item x="724"/>
        <item x="1150"/>
        <item x="10"/>
        <item x="631"/>
        <item x="1063"/>
        <item x="127"/>
        <item x="514"/>
        <item x="265"/>
        <item x="732"/>
        <item x="877"/>
        <item x="24"/>
        <item x="256"/>
        <item x="613"/>
        <item x="495"/>
        <item x="34"/>
        <item x="761"/>
        <item x="72"/>
        <item x="457"/>
        <item x="330"/>
        <item x="15"/>
        <item x="891"/>
        <item x="1060"/>
        <item x="430"/>
        <item x="81"/>
        <item x="1049"/>
        <item x="486"/>
        <item x="1026"/>
        <item x="1308"/>
        <item x="727"/>
        <item x="22"/>
        <item x="296"/>
        <item x="1181"/>
        <item x="260"/>
        <item x="847"/>
        <item x="56"/>
        <item x="229"/>
        <item x="543"/>
        <item x="77"/>
        <item x="1353"/>
        <item x="114"/>
        <item x="874"/>
        <item x="309"/>
        <item x="730"/>
        <item x="1019"/>
        <item x="134"/>
        <item x="1421"/>
        <item x="1293"/>
        <item x="19"/>
        <item x="760"/>
        <item x="526"/>
        <item x="939"/>
        <item x="1198"/>
        <item x="515"/>
        <item x="31"/>
        <item x="347"/>
        <item x="509"/>
        <item x="1158"/>
        <item x="148"/>
        <item x="109"/>
        <item x="459"/>
        <item x="1015"/>
        <item x="985"/>
        <item x="733"/>
        <item x="261"/>
        <item x="121"/>
        <item x="1103"/>
        <item x="698"/>
        <item x="1349"/>
        <item x="480"/>
        <item x="1034"/>
        <item x="82"/>
        <item x="957"/>
        <item x="924"/>
        <item x="259"/>
        <item x="1384"/>
        <item x="1319"/>
        <item x="37"/>
        <item x="1001"/>
        <item x="504"/>
        <item x="1307"/>
        <item x="86"/>
        <item x="180"/>
        <item x="93"/>
        <item x="263"/>
        <item x="546"/>
        <item x="1401"/>
        <item x="1091"/>
        <item x="48"/>
        <item x="654"/>
        <item x="147"/>
        <item x="139"/>
        <item x="559"/>
        <item x="142"/>
        <item x="106"/>
        <item x="740"/>
        <item x="1159"/>
        <item x="146"/>
        <item x="762"/>
        <item x="987"/>
        <item x="708"/>
        <item x="137"/>
        <item x="303"/>
        <item x="254"/>
        <item x="434"/>
        <item x="550"/>
        <item x="542"/>
        <item x="491"/>
        <item x="149"/>
        <item x="932"/>
        <item x="1020"/>
        <item x="25"/>
        <item x="155"/>
        <item x="979"/>
        <item x="1387"/>
        <item x="138"/>
        <item x="900"/>
        <item x="1016"/>
        <item x="13"/>
        <item x="639"/>
        <item x="73"/>
        <item x="1125"/>
        <item x="929"/>
        <item x="297"/>
        <item x="47"/>
        <item x="85"/>
        <item x="711"/>
        <item x="901"/>
        <item x="412"/>
        <item x="1088"/>
        <item x="1053"/>
        <item x="145"/>
        <item x="238"/>
        <item x="750"/>
        <item x="1012"/>
        <item x="863"/>
        <item x="1"/>
        <item x="998"/>
        <item x="1051"/>
        <item x="525"/>
        <item x="697"/>
        <item x="158"/>
        <item x="685"/>
        <item x="118"/>
        <item x="739"/>
        <item x="154"/>
        <item x="161"/>
        <item x="607"/>
        <item x="923"/>
        <item x="608"/>
        <item x="860"/>
        <item x="40"/>
        <item x="1059"/>
        <item x="239"/>
        <item x="851"/>
        <item x="1407"/>
        <item x="930"/>
        <item x="1035"/>
        <item x="92"/>
        <item x="604"/>
        <item x="527"/>
        <item x="55"/>
        <item x="150"/>
        <item x="128"/>
        <item x="484"/>
        <item x="212"/>
        <item x="474"/>
        <item x="270"/>
        <item x="1013"/>
        <item x="163"/>
        <item x="159"/>
        <item x="348"/>
        <item x="715"/>
        <item x="346"/>
        <item x="899"/>
        <item x="200"/>
        <item x="1008"/>
        <item x="911"/>
        <item x="46"/>
        <item x="561"/>
        <item x="164"/>
        <item x="152"/>
        <item x="1052"/>
        <item x="1332"/>
        <item x="74"/>
        <item x="95"/>
        <item x="1028"/>
        <item x="876"/>
        <item x="1061"/>
        <item x="672"/>
        <item x="266"/>
        <item x="655"/>
        <item x="793"/>
        <item x="1090"/>
        <item x="313"/>
        <item x="965"/>
        <item x="162"/>
        <item x="675"/>
        <item x="117"/>
        <item x="129"/>
        <item x="586"/>
        <item x="1079"/>
        <item x="722"/>
        <item x="452"/>
        <item x="822"/>
        <item x="1050"/>
        <item x="122"/>
        <item x="1011"/>
        <item x="1295"/>
        <item x="464"/>
        <item x="836"/>
        <item x="1374"/>
        <item x="723"/>
        <item x="736"/>
        <item x="1364"/>
        <item x="545"/>
        <item x="1435"/>
        <item x="1067"/>
        <item x="511"/>
        <item x="465"/>
        <item x="946"/>
        <item x="144"/>
        <item x="1032"/>
        <item x="668"/>
        <item x="680"/>
        <item x="872"/>
        <item x="1204"/>
        <item x="756"/>
        <item x="1037"/>
        <item x="462"/>
        <item x="466"/>
        <item x="237"/>
        <item x="140"/>
        <item x="594"/>
        <item x="801"/>
        <item x="842"/>
        <item x="759"/>
        <item x="1325"/>
        <item x="522"/>
        <item x="136"/>
        <item x="1386"/>
        <item x="928"/>
        <item x="1078"/>
        <item x="562"/>
        <item x="126"/>
        <item x="433"/>
        <item x="115"/>
        <item x="141"/>
        <item x="873"/>
        <item x="431"/>
        <item x="108"/>
        <item x="97"/>
        <item x="1080"/>
        <item x="1092"/>
        <item x="751"/>
        <item x="955"/>
        <item x="731"/>
        <item x="94"/>
        <item x="3"/>
        <item t="default"/>
      </items>
    </pivotField>
    <pivotField showAll="0"/>
  </pivotFields>
  <rowFields count="2">
    <field x="2"/>
    <field x="3"/>
  </rowFields>
  <rowItems count="6">
    <i>
      <x/>
      <x/>
    </i>
    <i>
      <x v="1"/>
      <x v="4"/>
    </i>
    <i>
      <x v="2"/>
      <x v="3"/>
    </i>
    <i>
      <x v="3"/>
      <x v="2"/>
    </i>
    <i>
      <x v="4"/>
      <x v="1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Out Amount" fld="9" baseField="0" baseItem="0"/>
  </dataFields>
  <formats count="32">
    <format dxfId="63">
      <pivotArea outline="0" collapsedLevelsAreSubtotals="1" fieldPosition="0"/>
    </format>
    <format dxfId="62">
      <pivotArea field="7" type="button" dataOnly="0" labelOnly="1" outline="0" axis="axisCol" fieldPosition="0"/>
    </format>
    <format dxfId="61">
      <pivotArea type="topRight" dataOnly="0" labelOnly="1" outline="0" fieldPosition="0"/>
    </format>
    <format dxfId="60">
      <pivotArea collapsedLevelsAreSubtotals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59">
      <pivotArea collapsedLevelsAreSubtotals="1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58">
      <pivotArea collapsedLevelsAreSubtotals="1" fieldPosition="0">
        <references count="2">
          <reference field="2" count="1" selected="0">
            <x v="2"/>
          </reference>
          <reference field="3" count="1">
            <x v="3"/>
          </reference>
        </references>
      </pivotArea>
    </format>
    <format dxfId="57">
      <pivotArea collapsedLevelsAreSubtotals="1" fieldPosition="0">
        <references count="2">
          <reference field="2" count="1" selected="0">
            <x v="3"/>
          </reference>
          <reference field="3" count="1">
            <x v="2"/>
          </reference>
        </references>
      </pivotArea>
    </format>
    <format dxfId="56">
      <pivotArea collapsedLevelsAreSubtotals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55">
      <pivotArea dataOnly="0" labelOnly="1" fieldPosition="0">
        <references count="1">
          <reference field="2" count="0"/>
        </references>
      </pivotArea>
    </format>
    <format dxfId="54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53">
      <pivotArea dataOnly="0" labelOnly="1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52">
      <pivotArea dataOnly="0" labelOnly="1" fieldPosition="0">
        <references count="2">
          <reference field="2" count="1" selected="0">
            <x v="2"/>
          </reference>
          <reference field="3" count="1">
            <x v="3"/>
          </reference>
        </references>
      </pivotArea>
    </format>
    <format dxfId="51">
      <pivotArea dataOnly="0" labelOnly="1" fieldPosition="0">
        <references count="2">
          <reference field="2" count="1" selected="0">
            <x v="3"/>
          </reference>
          <reference field="3" count="1">
            <x v="2"/>
          </reference>
        </references>
      </pivotArea>
    </format>
    <format dxfId="50">
      <pivotArea dataOnly="0" labelOnly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49">
      <pivotArea field="2" type="button" dataOnly="0" labelOnly="1" outline="0" axis="axisRow" fieldPosition="0"/>
    </format>
    <format dxfId="48">
      <pivotArea field="3" type="button" dataOnly="0" labelOnly="1" outline="0" axis="axisRow" fieldPosition="1"/>
    </format>
    <format dxfId="47">
      <pivotArea dataOnly="0" labelOnly="1" fieldPosition="0">
        <references count="1">
          <reference field="7" count="0"/>
        </references>
      </pivotArea>
    </format>
    <format dxfId="46">
      <pivotArea dataOnly="0" labelOnly="1" grandCol="1" outline="0" fieldPosition="0"/>
    </format>
    <format dxfId="45">
      <pivotArea field="2" type="button" dataOnly="0" labelOnly="1" outline="0" axis="axisRow" fieldPosition="0"/>
    </format>
    <format dxfId="44">
      <pivotArea field="3" type="button" dataOnly="0" labelOnly="1" outline="0" axis="axisRow" fieldPosition="1"/>
    </format>
    <format dxfId="43">
      <pivotArea dataOnly="0" labelOnly="1" fieldPosition="0">
        <references count="1">
          <reference field="7" count="0"/>
        </references>
      </pivotArea>
    </format>
    <format dxfId="42">
      <pivotArea dataOnly="0" labelOnly="1" grandCol="1" outline="0" fieldPosition="0"/>
    </format>
    <format dxfId="41">
      <pivotArea field="2" type="button" dataOnly="0" labelOnly="1" outline="0" axis="axisRow" fieldPosition="0"/>
    </format>
    <format dxfId="40">
      <pivotArea field="3" type="button" dataOnly="0" labelOnly="1" outline="0" axis="axisRow" fieldPosition="1"/>
    </format>
    <format dxfId="39">
      <pivotArea dataOnly="0" labelOnly="1" fieldPosition="0">
        <references count="1">
          <reference field="7" count="0"/>
        </references>
      </pivotArea>
    </format>
    <format dxfId="38">
      <pivotArea dataOnly="0" labelOnly="1" grandCol="1" outline="0" fieldPosition="0"/>
    </format>
    <format dxfId="37">
      <pivotArea field="2" type="button" dataOnly="0" labelOnly="1" outline="0" axis="axisRow" fieldPosition="0"/>
    </format>
    <format dxfId="36">
      <pivotArea field="3" type="button" dataOnly="0" labelOnly="1" outline="0" axis="axisRow" fieldPosition="1"/>
    </format>
    <format dxfId="35">
      <pivotArea dataOnly="0" labelOnly="1" fieldPosition="0">
        <references count="1">
          <reference field="7" count="0"/>
        </references>
      </pivotArea>
    </format>
    <format dxfId="34">
      <pivotArea dataOnly="0" labelOnly="1" grandCol="1" outline="0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4D110-B063-423F-80BE-4B7EE646B19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DM Name">
  <location ref="B3:K10" firstHeaderRow="1" firstDataRow="2" firstDataCol="2"/>
  <pivotFields count="13">
    <pivotField showAll="0"/>
    <pivotField showAll="0"/>
    <pivotField axis="axisRow" outline="0" showAll="0" defaultSubtotal="0">
      <items count="6">
        <item x="4"/>
        <item x="0"/>
        <item x="1"/>
        <item x="2"/>
        <item x="3"/>
        <item h="1" x="5"/>
      </items>
    </pivotField>
    <pivotField axis="axisRow" showAll="0">
      <items count="7">
        <item x="4"/>
        <item x="3"/>
        <item x="2"/>
        <item x="1"/>
        <item x="0"/>
        <item x="5"/>
        <item t="default"/>
      </items>
    </pivotField>
    <pivotField showAll="0"/>
    <pivotField numFmtId="165" showAll="0"/>
    <pivotField showAll="0"/>
    <pivotField axis="axisCol" showAll="0">
      <items count="9">
        <item n="0- 60" x="5"/>
        <item n="61-90" x="3"/>
        <item n="91-120" x="4"/>
        <item n="121- 150" x="6"/>
        <item n="151-180" x="0"/>
        <item n="181 - 300" x="1"/>
        <item n="Over 300" x="2"/>
        <item x="7"/>
        <item t="default"/>
      </items>
    </pivotField>
    <pivotField numFmtId="4" showAll="0"/>
    <pivotField dataField="1" numFmtId="4" showAll="0"/>
    <pivotField showAll="0"/>
    <pivotField showAll="0">
      <items count="1441">
        <item x="920"/>
        <item x="113"/>
        <item x="916"/>
        <item x="467"/>
        <item x="918"/>
        <item x="944"/>
        <item x="248"/>
        <item x="110"/>
        <item x="233"/>
        <item x="298"/>
        <item x="614"/>
        <item x="29"/>
        <item x="734"/>
        <item x="175"/>
        <item x="612"/>
        <item x="1009"/>
        <item x="610"/>
        <item x="1399"/>
        <item x="288"/>
        <item x="1415"/>
        <item x="810"/>
        <item x="602"/>
        <item x="112"/>
        <item x="880"/>
        <item x="915"/>
        <item x="797"/>
        <item x="271"/>
        <item x="770"/>
        <item x="611"/>
        <item x="168"/>
        <item x="917"/>
        <item x="166"/>
        <item x="1213"/>
        <item x="795"/>
        <item x="1339"/>
        <item x="358"/>
        <item x="975"/>
        <item x="332"/>
        <item x="921"/>
        <item x="490"/>
        <item x="503"/>
        <item x="235"/>
        <item x="193"/>
        <item x="844"/>
        <item x="984"/>
        <item x="306"/>
        <item x="843"/>
        <item x="1208"/>
        <item x="98"/>
        <item x="582"/>
        <item x="111"/>
        <item x="35"/>
        <item x="174"/>
        <item x="27"/>
        <item x="240"/>
        <item x="637"/>
        <item x="1398"/>
        <item x="5"/>
        <item x="1378"/>
        <item x="729"/>
        <item x="247"/>
        <item x="1425"/>
        <item x="505"/>
        <item x="60"/>
        <item x="1258"/>
        <item x="1291"/>
        <item x="26"/>
        <item x="1392"/>
        <item x="1257"/>
        <item x="803"/>
        <item x="791"/>
        <item x="1256"/>
        <item x="609"/>
        <item x="28"/>
        <item x="535"/>
        <item x="243"/>
        <item x="982"/>
        <item x="974"/>
        <item x="1304"/>
        <item x="165"/>
        <item x="194"/>
        <item x="547"/>
        <item x="246"/>
        <item x="659"/>
        <item x="1313"/>
        <item x="983"/>
        <item x="831"/>
        <item x="854"/>
        <item x="771"/>
        <item x="665"/>
        <item x="173"/>
        <item x="1397"/>
        <item x="658"/>
        <item x="301"/>
        <item x="1410"/>
        <item x="776"/>
        <item x="191"/>
        <item x="397"/>
        <item x="1373"/>
        <item x="716"/>
        <item x="862"/>
        <item x="933"/>
        <item x="777"/>
        <item x="919"/>
        <item x="737"/>
        <item x="689"/>
        <item x="563"/>
        <item x="1094"/>
        <item x="387"/>
        <item x="601"/>
        <item x="1010"/>
        <item x="564"/>
        <item x="1361"/>
        <item x="61"/>
        <item x="1255"/>
        <item x="1391"/>
        <item x="1221"/>
        <item x="425"/>
        <item x="778"/>
        <item x="192"/>
        <item x="1171"/>
        <item x="169"/>
        <item x="1194"/>
        <item x="691"/>
        <item x="1154"/>
        <item x="1072"/>
        <item x="696"/>
        <item x="1146"/>
        <item x="316"/>
        <item x="367"/>
        <item x="1301"/>
        <item x="879"/>
        <item x="167"/>
        <item x="645"/>
        <item x="587"/>
        <item x="172"/>
        <item x="44"/>
        <item x="786"/>
        <item x="867"/>
        <item x="424"/>
        <item x="440"/>
        <item x="596"/>
        <item x="1212"/>
        <item x="713"/>
        <item x="818"/>
        <item x="935"/>
        <item x="1066"/>
        <item x="6"/>
        <item x="291"/>
        <item x="789"/>
        <item x="648"/>
        <item x="195"/>
        <item x="643"/>
        <item x="832"/>
        <item x="498"/>
        <item x="345"/>
        <item x="76"/>
        <item x="83"/>
        <item x="75"/>
        <item x="2"/>
        <item x="1390"/>
        <item x="618"/>
        <item x="370"/>
        <item x="773"/>
        <item x="718"/>
        <item x="519"/>
        <item x="432"/>
        <item x="1230"/>
        <item x="295"/>
        <item x="1237"/>
        <item x="331"/>
        <item x="307"/>
        <item x="814"/>
        <item x="333"/>
        <item x="197"/>
        <item x="383"/>
        <item x="566"/>
        <item x="378"/>
        <item x="376"/>
        <item x="1025"/>
        <item x="299"/>
        <item x="997"/>
        <item x="1172"/>
        <item x="325"/>
        <item x="1151"/>
        <item x="575"/>
        <item x="840"/>
        <item x="552"/>
        <item x="1294"/>
        <item x="792"/>
        <item x="116"/>
        <item x="497"/>
        <item x="671"/>
        <item x="454"/>
        <item x="996"/>
        <item x="825"/>
        <item x="381"/>
        <item x="695"/>
        <item x="401"/>
        <item x="1412"/>
        <item x="1247"/>
        <item x="1027"/>
        <item x="1048"/>
        <item x="453"/>
        <item x="1191"/>
        <item x="1227"/>
        <item x="68"/>
        <item x="1272"/>
        <item x="41"/>
        <item x="625"/>
        <item x="632"/>
        <item x="1226"/>
        <item x="281"/>
        <item x="1006"/>
        <item x="487"/>
        <item x="845"/>
        <item x="384"/>
        <item x="646"/>
        <item x="420"/>
        <item x="203"/>
        <item x="272"/>
        <item x="942"/>
        <item x="717"/>
        <item x="1033"/>
        <item x="273"/>
        <item x="1024"/>
        <item x="362"/>
        <item x="1197"/>
        <item x="414"/>
        <item x="812"/>
        <item x="549"/>
        <item x="1112"/>
        <item x="209"/>
        <item x="492"/>
        <item x="714"/>
        <item x="319"/>
        <item x="1356"/>
        <item x="1223"/>
        <item x="922"/>
        <item x="1162"/>
        <item x="1366"/>
        <item x="1278"/>
        <item x="1290"/>
        <item x="621"/>
        <item x="1368"/>
        <item x="780"/>
        <item x="426"/>
        <item x="1396"/>
        <item x="620"/>
        <item x="199"/>
        <item x="619"/>
        <item x="447"/>
        <item x="569"/>
        <item x="283"/>
        <item x="1130"/>
        <item x="720"/>
        <item x="666"/>
        <item x="1326"/>
        <item x="363"/>
        <item x="802"/>
        <item x="326"/>
        <item x="1377"/>
        <item x="1312"/>
        <item x="934"/>
        <item x="310"/>
        <item x="1163"/>
        <item x="507"/>
        <item x="171"/>
        <item x="499"/>
        <item x="765"/>
        <item x="502"/>
        <item x="1098"/>
        <item x="375"/>
        <item x="403"/>
        <item x="904"/>
        <item x="245"/>
        <item x="1084"/>
        <item x="382"/>
        <item x="1225"/>
        <item x="757"/>
        <item x="1331"/>
        <item x="1220"/>
        <item x="570"/>
        <item x="1436"/>
        <item x="1376"/>
        <item x="1236"/>
        <item x="1241"/>
        <item x="553"/>
        <item x="104"/>
        <item x="881"/>
        <item x="571"/>
        <item x="626"/>
        <item x="627"/>
        <item x="343"/>
        <item x="1253"/>
        <item x="1096"/>
        <item x="450"/>
        <item x="1132"/>
        <item x="1082"/>
        <item x="361"/>
        <item x="1152"/>
        <item x="796"/>
        <item x="615"/>
        <item x="588"/>
        <item x="1423"/>
        <item x="485"/>
        <item x="800"/>
        <item x="481"/>
        <item x="754"/>
        <item x="694"/>
        <item x="1169"/>
        <item x="1114"/>
        <item x="1113"/>
        <item x="1432"/>
        <item x="624"/>
        <item x="1238"/>
        <item x="349"/>
        <item x="858"/>
        <item x="1348"/>
        <item x="744"/>
        <item x="1156"/>
        <item x="405"/>
        <item x="1240"/>
        <item x="1300"/>
        <item x="372"/>
        <item x="1337"/>
        <item x="855"/>
        <item x="1359"/>
        <item x="379"/>
        <item x="572"/>
        <item x="1138"/>
        <item x="71"/>
        <item x="1005"/>
        <item x="186"/>
        <item x="189"/>
        <item x="693"/>
        <item x="1369"/>
        <item x="1338"/>
        <item x="661"/>
        <item x="1341"/>
        <item x="1393"/>
        <item x="1363"/>
        <item x="1395"/>
        <item x="529"/>
        <item x="1165"/>
        <item x="1185"/>
        <item x="1360"/>
        <item x="574"/>
        <item x="337"/>
        <item x="279"/>
        <item x="63"/>
        <item x="779"/>
        <item x="42"/>
        <item x="1193"/>
        <item x="1106"/>
        <item x="902"/>
        <item x="819"/>
        <item x="69"/>
        <item x="973"/>
        <item x="1296"/>
        <item x="622"/>
        <item x="1334"/>
        <item x="1211"/>
        <item x="888"/>
        <item x="62"/>
        <item x="943"/>
        <item x="590"/>
        <item x="1178"/>
        <item x="1081"/>
        <item x="496"/>
        <item x="623"/>
        <item x="568"/>
        <item x="887"/>
        <item x="178"/>
        <item x="772"/>
        <item x="364"/>
        <item x="827"/>
        <item x="1189"/>
        <item x="1381"/>
        <item x="395"/>
        <item x="1045"/>
        <item x="1420"/>
        <item x="1270"/>
        <item x="520"/>
        <item x="1298"/>
        <item x="1046"/>
        <item x="576"/>
        <item x="70"/>
        <item x="828"/>
        <item x="1354"/>
        <item x="903"/>
        <item x="1180"/>
        <item x="531"/>
        <item x="1057"/>
        <item x="841"/>
        <item x="1345"/>
        <item x="408"/>
        <item x="886"/>
        <item x="1070"/>
        <item x="1414"/>
        <item x="285"/>
        <item x="767"/>
        <item x="971"/>
        <item x="787"/>
        <item x="360"/>
        <item x="1279"/>
        <item x="1340"/>
        <item x="232"/>
        <item x="451"/>
        <item x="969"/>
        <item x="829"/>
        <item x="1175"/>
        <item x="905"/>
        <item x="1371"/>
        <item x="290"/>
        <item x="565"/>
        <item x="1283"/>
        <item x="1105"/>
        <item x="30"/>
        <item x="1264"/>
        <item x="1402"/>
        <item x="280"/>
        <item x="274"/>
        <item x="338"/>
        <item x="861"/>
        <item x="1129"/>
        <item x="721"/>
        <item x="294"/>
        <item x="1054"/>
        <item x="369"/>
        <item x="292"/>
        <item x="377"/>
        <item x="989"/>
        <item x="187"/>
        <item x="1405"/>
        <item x="1128"/>
        <item x="1202"/>
        <item x="1259"/>
        <item x="651"/>
        <item x="1321"/>
        <item x="1122"/>
        <item x="1176"/>
        <item x="463"/>
        <item x="404"/>
        <item x="889"/>
        <item x="1039"/>
        <item x="1418"/>
        <item x="1101"/>
        <item x="945"/>
        <item x="554"/>
        <item x="460"/>
        <item x="1232"/>
        <item x="124"/>
        <item x="907"/>
        <item x="1262"/>
        <item x="1224"/>
        <item x="305"/>
        <item x="101"/>
        <item x="1409"/>
        <item x="1100"/>
        <item x="177"/>
        <item x="1173"/>
        <item x="629"/>
        <item x="763"/>
        <item x="494"/>
        <item x="242"/>
        <item x="1177"/>
        <item x="1281"/>
        <item x="539"/>
        <item x="573"/>
        <item x="958"/>
        <item x="1404"/>
        <item x="589"/>
        <item x="959"/>
        <item x="1285"/>
        <item x="202"/>
        <item x="788"/>
        <item x="493"/>
        <item x="826"/>
        <item x="427"/>
        <item x="804"/>
        <item x="278"/>
        <item x="119"/>
        <item x="1333"/>
        <item x="286"/>
        <item x="931"/>
        <item x="567"/>
        <item x="102"/>
        <item x="1416"/>
        <item x="445"/>
        <item x="1424"/>
        <item x="206"/>
        <item x="391"/>
        <item x="701"/>
        <item x="437"/>
        <item x="1099"/>
        <item x="228"/>
        <item x="752"/>
        <item x="476"/>
        <item x="1205"/>
        <item x="446"/>
        <item x="1153"/>
        <item x="1222"/>
        <item x="848"/>
        <item x="1379"/>
        <item x="821"/>
        <item x="1157"/>
        <item x="230"/>
        <item x="417"/>
        <item x="755"/>
        <item x="866"/>
        <item x="1058"/>
        <item x="1260"/>
        <item x="399"/>
        <item x="1271"/>
        <item x="1380"/>
        <item x="250"/>
        <item x="746"/>
        <item x="635"/>
        <item x="1004"/>
        <item x="662"/>
        <item x="988"/>
        <item x="1133"/>
        <item x="1344"/>
        <item x="591"/>
        <item x="1408"/>
        <item x="335"/>
        <item x="1143"/>
        <item x="413"/>
        <item x="1266"/>
        <item x="1085"/>
        <item x="284"/>
        <item x="1355"/>
        <item x="262"/>
        <item x="1218"/>
        <item x="1280"/>
        <item x="1303"/>
        <item x="972"/>
        <item x="536"/>
        <item x="1318"/>
        <item x="1196"/>
        <item x="218"/>
        <item x="479"/>
        <item x="1083"/>
        <item x="642"/>
        <item x="1250"/>
        <item x="99"/>
        <item x="392"/>
        <item x="653"/>
        <item x="1167"/>
        <item x="231"/>
        <item x="538"/>
        <item x="743"/>
        <item x="684"/>
        <item x="1040"/>
        <item x="555"/>
        <item x="1210"/>
        <item x="398"/>
        <item x="1215"/>
        <item x="443"/>
        <item x="1200"/>
        <item x="438"/>
        <item x="523"/>
        <item x="1055"/>
        <item x="597"/>
        <item x="1219"/>
        <item x="416"/>
        <item x="217"/>
        <item x="33"/>
        <item x="1147"/>
        <item x="599"/>
        <item x="1148"/>
        <item x="322"/>
        <item x="537"/>
        <item x="1239"/>
        <item x="1382"/>
        <item x="253"/>
        <item x="652"/>
        <item x="328"/>
        <item x="1102"/>
        <item x="647"/>
        <item x="244"/>
        <item x="1087"/>
        <item x="835"/>
        <item x="80"/>
        <item x="1417"/>
        <item x="282"/>
        <item x="769"/>
        <item x="833"/>
        <item x="448"/>
        <item x="1022"/>
        <item x="1265"/>
        <item x="304"/>
        <item x="1268"/>
        <item x="373"/>
        <item x="185"/>
        <item x="1261"/>
        <item x="222"/>
        <item x="1316"/>
        <item x="1086"/>
        <item x="524"/>
        <item x="1287"/>
        <item x="990"/>
        <item x="1346"/>
        <item x="179"/>
        <item x="937"/>
        <item x="394"/>
        <item x="1145"/>
        <item x="1438"/>
        <item x="52"/>
        <item x="1121"/>
        <item x="170"/>
        <item x="249"/>
        <item x="393"/>
        <item x="633"/>
        <item x="1126"/>
        <item x="1246"/>
        <item x="302"/>
        <item x="181"/>
        <item x="719"/>
        <item x="1394"/>
        <item x="43"/>
        <item x="1317"/>
        <item x="1166"/>
        <item x="815"/>
        <item x="489"/>
        <item x="125"/>
        <item x="700"/>
        <item x="264"/>
        <item x="667"/>
        <item x="869"/>
        <item x="219"/>
        <item x="1342"/>
        <item x="805"/>
        <item x="540"/>
        <item x="1422"/>
        <item x="1199"/>
        <item x="1233"/>
        <item x="53"/>
        <item x="839"/>
        <item x="726"/>
        <item x="1323"/>
        <item x="506"/>
        <item x="436"/>
        <item x="548"/>
        <item x="660"/>
        <item x="1030"/>
        <item x="875"/>
        <item x="616"/>
        <item x="59"/>
        <item x="1123"/>
        <item x="368"/>
        <item x="806"/>
        <item x="1389"/>
        <item x="1274"/>
        <item x="742"/>
        <item x="710"/>
        <item x="1305"/>
        <item x="236"/>
        <item x="782"/>
        <item x="1155"/>
        <item x="1139"/>
        <item x="807"/>
        <item x="184"/>
        <item x="410"/>
        <item x="214"/>
        <item x="340"/>
        <item x="50"/>
        <item x="745"/>
        <item x="748"/>
        <item x="234"/>
        <item x="1286"/>
        <item x="1245"/>
        <item x="883"/>
        <item x="79"/>
        <item x="176"/>
        <item x="977"/>
        <item x="1228"/>
        <item x="386"/>
        <item x="981"/>
        <item x="311"/>
        <item x="1077"/>
        <item x="456"/>
        <item x="0"/>
        <item x="449"/>
        <item x="758"/>
        <item x="811"/>
        <item x="1174"/>
        <item x="1277"/>
        <item x="1289"/>
        <item x="1263"/>
        <item x="275"/>
        <item x="735"/>
        <item x="400"/>
        <item x="84"/>
        <item x="1273"/>
        <item x="1234"/>
        <item x="600"/>
        <item x="706"/>
        <item x="884"/>
        <item x="530"/>
        <item x="1437"/>
        <item x="1434"/>
        <item x="1186"/>
        <item x="533"/>
        <item x="687"/>
        <item x="444"/>
        <item x="45"/>
        <item x="1288"/>
        <item x="820"/>
        <item x="501"/>
        <item x="221"/>
        <item x="1275"/>
        <item x="912"/>
        <item x="906"/>
        <item x="471"/>
        <item x="327"/>
        <item x="682"/>
        <item x="208"/>
        <item x="592"/>
        <item x="1370"/>
        <item x="1347"/>
        <item x="1201"/>
        <item x="1385"/>
        <item x="1433"/>
        <item x="725"/>
        <item x="324"/>
        <item x="705"/>
        <item x="1299"/>
        <item x="1229"/>
        <item x="252"/>
        <item x="91"/>
        <item x="528"/>
        <item x="380"/>
        <item x="351"/>
        <item x="986"/>
        <item x="321"/>
        <item x="241"/>
        <item x="1428"/>
        <item x="897"/>
        <item x="799"/>
        <item x="850"/>
        <item x="551"/>
        <item x="277"/>
        <item x="1388"/>
        <item x="908"/>
        <item x="1203"/>
        <item x="712"/>
        <item x="579"/>
        <item x="1043"/>
        <item x="1358"/>
        <item x="1367"/>
        <item x="300"/>
        <item x="205"/>
        <item x="1406"/>
        <item x="14"/>
        <item x="1109"/>
        <item x="790"/>
        <item x="406"/>
        <item x="422"/>
        <item x="7"/>
        <item x="409"/>
        <item x="1375"/>
        <item x="849"/>
        <item x="595"/>
        <item x="1314"/>
        <item x="341"/>
        <item x="688"/>
        <item x="749"/>
        <item x="768"/>
        <item x="276"/>
        <item x="89"/>
        <item x="359"/>
        <item x="54"/>
        <item x="21"/>
        <item x="1254"/>
        <item x="890"/>
        <item x="1056"/>
        <item x="649"/>
        <item x="293"/>
        <item x="764"/>
        <item x="1302"/>
        <item x="580"/>
        <item x="798"/>
        <item x="1352"/>
        <item x="1206"/>
        <item x="952"/>
        <item x="1413"/>
        <item x="1249"/>
        <item x="475"/>
        <item x="418"/>
        <item x="603"/>
        <item x="1330"/>
        <item x="896"/>
        <item x="1042"/>
        <item x="978"/>
        <item x="8"/>
        <item x="699"/>
        <item x="429"/>
        <item x="1023"/>
        <item x="1327"/>
        <item x="336"/>
        <item x="669"/>
        <item x="961"/>
        <item x="103"/>
        <item x="980"/>
        <item x="1047"/>
        <item x="1244"/>
        <item x="415"/>
        <item x="962"/>
        <item x="683"/>
        <item x="878"/>
        <item x="36"/>
        <item x="834"/>
        <item x="628"/>
        <item x="428"/>
        <item x="223"/>
        <item x="1251"/>
        <item x="1164"/>
        <item x="357"/>
        <item x="1252"/>
        <item x="389"/>
        <item x="1168"/>
        <item x="23"/>
        <item x="895"/>
        <item x="188"/>
        <item x="657"/>
        <item x="852"/>
        <item x="1311"/>
        <item x="1074"/>
        <item x="677"/>
        <item x="1119"/>
        <item x="315"/>
        <item x="374"/>
        <item x="1104"/>
        <item x="1383"/>
        <item x="704"/>
        <item x="4"/>
        <item x="1306"/>
        <item x="513"/>
        <item x="510"/>
        <item x="1135"/>
        <item x="963"/>
        <item x="350"/>
        <item x="738"/>
        <item x="312"/>
        <item x="702"/>
        <item x="1269"/>
        <item x="1062"/>
        <item x="1284"/>
        <item x="606"/>
        <item x="1118"/>
        <item x="1131"/>
        <item x="207"/>
        <item x="686"/>
        <item x="953"/>
        <item x="407"/>
        <item x="1041"/>
        <item x="1089"/>
        <item x="1127"/>
        <item x="289"/>
        <item x="1188"/>
        <item x="681"/>
        <item x="644"/>
        <item x="781"/>
        <item x="182"/>
        <item x="1322"/>
        <item x="541"/>
        <item x="1297"/>
        <item x="190"/>
        <item x="1214"/>
        <item x="318"/>
        <item x="1336"/>
        <item x="679"/>
        <item x="1142"/>
        <item x="1187"/>
        <item x="809"/>
        <item x="342"/>
        <item x="269"/>
        <item x="670"/>
        <item x="856"/>
        <item x="1365"/>
        <item x="120"/>
        <item x="255"/>
        <item x="641"/>
        <item x="949"/>
        <item x="1111"/>
        <item x="1110"/>
        <item x="88"/>
        <item x="257"/>
        <item x="1190"/>
        <item x="728"/>
        <item x="317"/>
        <item x="1309"/>
        <item x="1141"/>
        <item x="482"/>
        <item x="472"/>
        <item x="617"/>
        <item x="388"/>
        <item x="478"/>
        <item x="794"/>
        <item x="143"/>
        <item x="258"/>
        <item x="268"/>
        <item x="994"/>
        <item x="976"/>
        <item x="584"/>
        <item x="1357"/>
        <item x="1207"/>
        <item x="968"/>
        <item x="1209"/>
        <item x="423"/>
        <item x="747"/>
        <item x="1267"/>
        <item x="598"/>
        <item x="558"/>
        <item x="992"/>
        <item x="196"/>
        <item x="1136"/>
        <item x="308"/>
        <item x="1310"/>
        <item x="894"/>
        <item x="1276"/>
        <item x="864"/>
        <item x="938"/>
        <item x="251"/>
        <item x="950"/>
        <item x="18"/>
        <item x="1179"/>
        <item x="951"/>
        <item x="442"/>
        <item x="1324"/>
        <item x="441"/>
        <item x="1036"/>
        <item x="100"/>
        <item x="784"/>
        <item x="226"/>
        <item x="1235"/>
        <item x="830"/>
        <item x="105"/>
        <item x="1117"/>
        <item x="1351"/>
        <item x="1243"/>
        <item x="892"/>
        <item x="1182"/>
        <item x="57"/>
        <item x="673"/>
        <item x="999"/>
        <item x="1231"/>
        <item x="210"/>
        <item x="1292"/>
        <item x="885"/>
        <item x="914"/>
        <item x="1071"/>
        <item x="356"/>
        <item x="1017"/>
        <item x="130"/>
        <item x="477"/>
        <item x="859"/>
        <item x="966"/>
        <item x="458"/>
        <item x="775"/>
        <item x="1372"/>
        <item x="1431"/>
        <item x="1137"/>
        <item x="198"/>
        <item x="1160"/>
        <item x="419"/>
        <item x="913"/>
        <item x="954"/>
        <item x="1350"/>
        <item x="868"/>
        <item x="354"/>
        <item x="656"/>
        <item x="703"/>
        <item x="663"/>
        <item x="1161"/>
        <item x="421"/>
        <item x="813"/>
        <item x="131"/>
        <item x="1429"/>
        <item x="774"/>
        <item x="1430"/>
        <item x="135"/>
        <item x="49"/>
        <item x="1329"/>
        <item x="1018"/>
        <item x="1069"/>
        <item x="634"/>
        <item x="1044"/>
        <item x="1242"/>
        <item x="287"/>
        <item x="585"/>
        <item x="67"/>
        <item x="1411"/>
        <item x="1184"/>
        <item x="650"/>
        <item x="39"/>
        <item x="365"/>
        <item x="960"/>
        <item x="1149"/>
        <item x="516"/>
        <item x="32"/>
        <item x="1192"/>
        <item x="766"/>
        <item x="927"/>
        <item x="87"/>
        <item x="925"/>
        <item x="353"/>
        <item x="753"/>
        <item x="544"/>
        <item x="709"/>
        <item x="215"/>
        <item x="993"/>
        <item x="201"/>
        <item x="1248"/>
        <item x="893"/>
        <item x="823"/>
        <item x="1095"/>
        <item x="1097"/>
        <item x="157"/>
        <item x="909"/>
        <item x="1144"/>
        <item x="1076"/>
        <item x="1064"/>
        <item x="640"/>
        <item x="692"/>
        <item x="910"/>
        <item x="1426"/>
        <item x="483"/>
        <item x="402"/>
        <item x="1320"/>
        <item x="556"/>
        <item x="1002"/>
        <item x="20"/>
        <item x="808"/>
        <item x="500"/>
        <item x="785"/>
        <item x="204"/>
        <item x="160"/>
        <item x="1335"/>
        <item x="385"/>
        <item x="593"/>
        <item x="334"/>
        <item x="12"/>
        <item x="508"/>
        <item x="90"/>
        <item x="583"/>
        <item x="344"/>
        <item x="1315"/>
        <item x="1093"/>
        <item x="1419"/>
        <item x="1107"/>
        <item x="224"/>
        <item x="314"/>
        <item x="636"/>
        <item x="329"/>
        <item x="1282"/>
        <item x="1328"/>
        <item x="783"/>
        <item x="123"/>
        <item x="58"/>
        <item x="78"/>
        <item x="1029"/>
        <item x="225"/>
        <item x="352"/>
        <item x="133"/>
        <item x="1021"/>
        <item x="577"/>
        <item x="1120"/>
        <item x="488"/>
        <item x="1031"/>
        <item x="578"/>
        <item x="390"/>
        <item x="534"/>
        <item x="1134"/>
        <item x="355"/>
        <item x="16"/>
        <item x="512"/>
        <item x="1116"/>
        <item x="824"/>
        <item x="96"/>
        <item x="936"/>
        <item x="411"/>
        <item x="183"/>
        <item x="690"/>
        <item x="1124"/>
        <item x="517"/>
        <item x="1439"/>
        <item x="882"/>
        <item x="678"/>
        <item x="371"/>
        <item x="865"/>
        <item x="707"/>
        <item x="898"/>
        <item x="871"/>
        <item x="1195"/>
        <item x="1427"/>
        <item x="1073"/>
        <item x="339"/>
        <item x="1403"/>
        <item x="9"/>
        <item x="65"/>
        <item x="1400"/>
        <item x="1115"/>
        <item x="1108"/>
        <item x="581"/>
        <item x="17"/>
        <item x="473"/>
        <item x="213"/>
        <item x="817"/>
        <item x="560"/>
        <item x="227"/>
        <item x="216"/>
        <item x="956"/>
        <item x="518"/>
        <item x="1343"/>
        <item x="857"/>
        <item x="995"/>
        <item x="605"/>
        <item x="557"/>
        <item x="435"/>
        <item x="674"/>
        <item x="396"/>
        <item x="941"/>
        <item x="521"/>
        <item x="532"/>
        <item x="1000"/>
        <item x="468"/>
        <item x="940"/>
        <item x="1038"/>
        <item x="991"/>
        <item x="1183"/>
        <item x="970"/>
        <item x="469"/>
        <item x="947"/>
        <item x="1068"/>
        <item x="846"/>
        <item x="66"/>
        <item x="926"/>
        <item x="838"/>
        <item x="323"/>
        <item x="267"/>
        <item x="1014"/>
        <item x="1003"/>
        <item x="676"/>
        <item x="107"/>
        <item x="153"/>
        <item x="1075"/>
        <item x="967"/>
        <item x="64"/>
        <item x="837"/>
        <item x="853"/>
        <item x="470"/>
        <item x="455"/>
        <item x="156"/>
        <item x="816"/>
        <item x="964"/>
        <item x="132"/>
        <item x="151"/>
        <item x="948"/>
        <item x="1065"/>
        <item x="439"/>
        <item x="461"/>
        <item x="38"/>
        <item x="638"/>
        <item x="11"/>
        <item x="1140"/>
        <item x="1216"/>
        <item x="320"/>
        <item x="366"/>
        <item x="51"/>
        <item x="741"/>
        <item x="664"/>
        <item x="1362"/>
        <item x="1217"/>
        <item x="630"/>
        <item x="870"/>
        <item x="1007"/>
        <item x="1170"/>
        <item x="220"/>
        <item x="211"/>
        <item x="724"/>
        <item x="1150"/>
        <item x="10"/>
        <item x="631"/>
        <item x="1063"/>
        <item x="127"/>
        <item x="514"/>
        <item x="265"/>
        <item x="732"/>
        <item x="877"/>
        <item x="24"/>
        <item x="256"/>
        <item x="613"/>
        <item x="495"/>
        <item x="34"/>
        <item x="761"/>
        <item x="72"/>
        <item x="457"/>
        <item x="330"/>
        <item x="15"/>
        <item x="891"/>
        <item x="1060"/>
        <item x="430"/>
        <item x="81"/>
        <item x="1049"/>
        <item x="486"/>
        <item x="1026"/>
        <item x="1308"/>
        <item x="727"/>
        <item x="22"/>
        <item x="296"/>
        <item x="1181"/>
        <item x="260"/>
        <item x="847"/>
        <item x="56"/>
        <item x="229"/>
        <item x="543"/>
        <item x="77"/>
        <item x="1353"/>
        <item x="114"/>
        <item x="874"/>
        <item x="309"/>
        <item x="730"/>
        <item x="1019"/>
        <item x="134"/>
        <item x="1421"/>
        <item x="1293"/>
        <item x="19"/>
        <item x="760"/>
        <item x="526"/>
        <item x="939"/>
        <item x="1198"/>
        <item x="515"/>
        <item x="31"/>
        <item x="347"/>
        <item x="509"/>
        <item x="1158"/>
        <item x="148"/>
        <item x="109"/>
        <item x="459"/>
        <item x="1015"/>
        <item x="985"/>
        <item x="733"/>
        <item x="261"/>
        <item x="121"/>
        <item x="1103"/>
        <item x="698"/>
        <item x="1349"/>
        <item x="480"/>
        <item x="1034"/>
        <item x="82"/>
        <item x="957"/>
        <item x="924"/>
        <item x="259"/>
        <item x="1384"/>
        <item x="1319"/>
        <item x="37"/>
        <item x="1001"/>
        <item x="504"/>
        <item x="1307"/>
        <item x="86"/>
        <item x="180"/>
        <item x="93"/>
        <item x="263"/>
        <item x="546"/>
        <item x="1401"/>
        <item x="1091"/>
        <item x="48"/>
        <item x="654"/>
        <item x="147"/>
        <item x="139"/>
        <item x="559"/>
        <item x="142"/>
        <item x="106"/>
        <item x="740"/>
        <item x="1159"/>
        <item x="146"/>
        <item x="762"/>
        <item x="987"/>
        <item x="708"/>
        <item x="137"/>
        <item x="303"/>
        <item x="254"/>
        <item x="434"/>
        <item x="550"/>
        <item x="542"/>
        <item x="491"/>
        <item x="149"/>
        <item x="932"/>
        <item x="1020"/>
        <item x="25"/>
        <item x="155"/>
        <item x="979"/>
        <item x="1387"/>
        <item x="138"/>
        <item x="900"/>
        <item x="1016"/>
        <item x="13"/>
        <item x="639"/>
        <item x="73"/>
        <item x="1125"/>
        <item x="929"/>
        <item x="297"/>
        <item x="47"/>
        <item x="85"/>
        <item x="711"/>
        <item x="901"/>
        <item x="412"/>
        <item x="1088"/>
        <item x="1053"/>
        <item x="145"/>
        <item x="238"/>
        <item x="750"/>
        <item x="1012"/>
        <item x="863"/>
        <item x="1"/>
        <item x="998"/>
        <item x="1051"/>
        <item x="525"/>
        <item x="697"/>
        <item x="158"/>
        <item x="685"/>
        <item x="118"/>
        <item x="739"/>
        <item x="154"/>
        <item x="161"/>
        <item x="607"/>
        <item x="923"/>
        <item x="608"/>
        <item x="860"/>
        <item x="40"/>
        <item x="1059"/>
        <item x="239"/>
        <item x="851"/>
        <item x="1407"/>
        <item x="930"/>
        <item x="1035"/>
        <item x="92"/>
        <item x="604"/>
        <item x="527"/>
        <item x="55"/>
        <item x="150"/>
        <item x="128"/>
        <item x="484"/>
        <item x="212"/>
        <item x="474"/>
        <item x="270"/>
        <item x="1013"/>
        <item x="163"/>
        <item x="159"/>
        <item x="348"/>
        <item x="715"/>
        <item x="346"/>
        <item x="899"/>
        <item x="200"/>
        <item x="1008"/>
        <item x="911"/>
        <item x="46"/>
        <item x="561"/>
        <item x="164"/>
        <item x="152"/>
        <item x="1052"/>
        <item x="1332"/>
        <item x="74"/>
        <item x="95"/>
        <item x="1028"/>
        <item x="876"/>
        <item x="1061"/>
        <item x="672"/>
        <item x="266"/>
        <item x="655"/>
        <item x="793"/>
        <item x="1090"/>
        <item x="313"/>
        <item x="965"/>
        <item x="162"/>
        <item x="675"/>
        <item x="117"/>
        <item x="129"/>
        <item x="586"/>
        <item x="1079"/>
        <item x="722"/>
        <item x="452"/>
        <item x="822"/>
        <item x="1050"/>
        <item x="122"/>
        <item x="1011"/>
        <item x="1295"/>
        <item x="464"/>
        <item x="836"/>
        <item x="1374"/>
        <item x="723"/>
        <item x="736"/>
        <item x="1364"/>
        <item x="545"/>
        <item x="1435"/>
        <item x="1067"/>
        <item x="511"/>
        <item x="465"/>
        <item x="946"/>
        <item x="144"/>
        <item x="1032"/>
        <item x="668"/>
        <item x="680"/>
        <item x="872"/>
        <item x="1204"/>
        <item x="756"/>
        <item x="1037"/>
        <item x="462"/>
        <item x="466"/>
        <item x="237"/>
        <item x="140"/>
        <item x="594"/>
        <item x="801"/>
        <item x="842"/>
        <item x="759"/>
        <item x="1325"/>
        <item x="522"/>
        <item x="136"/>
        <item x="1386"/>
        <item x="928"/>
        <item x="1078"/>
        <item x="562"/>
        <item x="126"/>
        <item x="433"/>
        <item x="115"/>
        <item x="141"/>
        <item x="873"/>
        <item x="431"/>
        <item x="108"/>
        <item x="97"/>
        <item x="1080"/>
        <item x="1092"/>
        <item x="751"/>
        <item x="955"/>
        <item x="731"/>
        <item x="94"/>
        <item x="3"/>
        <item t="default"/>
      </items>
    </pivotField>
    <pivotField showAll="0"/>
  </pivotFields>
  <rowFields count="2">
    <field x="2"/>
    <field x="3"/>
  </rowFields>
  <rowItems count="6">
    <i>
      <x/>
      <x/>
    </i>
    <i>
      <x v="1"/>
      <x v="4"/>
    </i>
    <i>
      <x v="2"/>
      <x v="3"/>
    </i>
    <i>
      <x v="3"/>
      <x v="2"/>
    </i>
    <i>
      <x v="4"/>
      <x v="1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Out Amount" fld="9" baseField="0" baseItem="0"/>
  </dataFields>
  <formats count="32">
    <format dxfId="0">
      <pivotArea outline="0" collapsedLevelsAreSubtotals="1" fieldPosition="0"/>
    </format>
    <format dxfId="1">
      <pivotArea field="7" type="button" dataOnly="0" labelOnly="1" outline="0" axis="axisCol" fieldPosition="0"/>
    </format>
    <format dxfId="2">
      <pivotArea type="topRight" dataOnly="0" labelOnly="1" outline="0" fieldPosition="0"/>
    </format>
    <format dxfId="3">
      <pivotArea collapsedLevelsAreSubtotals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4">
      <pivotArea collapsedLevelsAreSubtotals="1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5">
      <pivotArea collapsedLevelsAreSubtotals="1" fieldPosition="0">
        <references count="2">
          <reference field="2" count="1" selected="0">
            <x v="2"/>
          </reference>
          <reference field="3" count="1">
            <x v="3"/>
          </reference>
        </references>
      </pivotArea>
    </format>
    <format dxfId="6">
      <pivotArea collapsedLevelsAreSubtotals="1" fieldPosition="0">
        <references count="2">
          <reference field="2" count="1" selected="0">
            <x v="3"/>
          </reference>
          <reference field="3" count="1">
            <x v="2"/>
          </reference>
        </references>
      </pivotArea>
    </format>
    <format dxfId="7">
      <pivotArea collapsedLevelsAreSubtotals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8">
      <pivotArea dataOnly="0" labelOnly="1" fieldPosition="0">
        <references count="1">
          <reference field="2" count="0"/>
        </references>
      </pivotArea>
    </format>
    <format dxfId="9">
      <pivotArea dataOnly="0" labelOnly="1" fieldPosition="0">
        <references count="2">
          <reference field="2" count="1" selected="0">
            <x v="0"/>
          </reference>
          <reference field="3" count="1">
            <x v="0"/>
          </reference>
        </references>
      </pivotArea>
    </format>
    <format dxfId="10">
      <pivotArea dataOnly="0" labelOnly="1" fieldPosition="0">
        <references count="2">
          <reference field="2" count="1" selected="0">
            <x v="1"/>
          </reference>
          <reference field="3" count="1">
            <x v="4"/>
          </reference>
        </references>
      </pivotArea>
    </format>
    <format dxfId="11">
      <pivotArea dataOnly="0" labelOnly="1" fieldPosition="0">
        <references count="2">
          <reference field="2" count="1" selected="0">
            <x v="2"/>
          </reference>
          <reference field="3" count="1">
            <x v="3"/>
          </reference>
        </references>
      </pivotArea>
    </format>
    <format dxfId="12">
      <pivotArea dataOnly="0" labelOnly="1" fieldPosition="0">
        <references count="2">
          <reference field="2" count="1" selected="0">
            <x v="3"/>
          </reference>
          <reference field="3" count="1">
            <x v="2"/>
          </reference>
        </references>
      </pivotArea>
    </format>
    <format dxfId="13">
      <pivotArea dataOnly="0" labelOnly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14">
      <pivotArea field="2" type="button" dataOnly="0" labelOnly="1" outline="0" axis="axisRow" fieldPosition="0"/>
    </format>
    <format dxfId="15">
      <pivotArea field="3" type="button" dataOnly="0" labelOnly="1" outline="0" axis="axisRow" fieldPosition="1"/>
    </format>
    <format dxfId="16">
      <pivotArea dataOnly="0" labelOnly="1" fieldPosition="0">
        <references count="1">
          <reference field="7" count="0"/>
        </references>
      </pivotArea>
    </format>
    <format dxfId="17">
      <pivotArea dataOnly="0" labelOnly="1" grandCol="1" outline="0" fieldPosition="0"/>
    </format>
    <format dxfId="18">
      <pivotArea field="2" type="button" dataOnly="0" labelOnly="1" outline="0" axis="axisRow" fieldPosition="0"/>
    </format>
    <format dxfId="19">
      <pivotArea field="3" type="button" dataOnly="0" labelOnly="1" outline="0" axis="axisRow" fieldPosition="1"/>
    </format>
    <format dxfId="20">
      <pivotArea dataOnly="0" labelOnly="1" fieldPosition="0">
        <references count="1">
          <reference field="7" count="0"/>
        </references>
      </pivotArea>
    </format>
    <format dxfId="21">
      <pivotArea dataOnly="0" labelOnly="1" grandCol="1" outline="0" fieldPosition="0"/>
    </format>
    <format dxfId="22">
      <pivotArea field="2" type="button" dataOnly="0" labelOnly="1" outline="0" axis="axisRow" fieldPosition="0"/>
    </format>
    <format dxfId="23">
      <pivotArea field="3" type="button" dataOnly="0" labelOnly="1" outline="0" axis="axisRow" fieldPosition="1"/>
    </format>
    <format dxfId="24">
      <pivotArea dataOnly="0" labelOnly="1" fieldPosition="0">
        <references count="1">
          <reference field="7" count="0"/>
        </references>
      </pivotArea>
    </format>
    <format dxfId="25">
      <pivotArea dataOnly="0" labelOnly="1" grandCol="1" outline="0" fieldPosition="0"/>
    </format>
    <format dxfId="26">
      <pivotArea field="2" type="button" dataOnly="0" labelOnly="1" outline="0" axis="axisRow" fieldPosition="0"/>
    </format>
    <format dxfId="27">
      <pivotArea field="3" type="button" dataOnly="0" labelOnly="1" outline="0" axis="axisRow" fieldPosition="1"/>
    </format>
    <format dxfId="28">
      <pivotArea dataOnly="0" labelOnly="1" fieldPosition="0">
        <references count="1">
          <reference field="7" count="0"/>
        </references>
      </pivotArea>
    </format>
    <format dxfId="29">
      <pivotArea dataOnly="0" labelOnly="1" grandCol="1" outline="0" fieldPosition="0"/>
    </format>
    <format dxfId="30">
      <pivotArea grandRow="1" outline="0" collapsedLevelsAreSubtotals="1" fieldPosition="0"/>
    </format>
    <format dxfId="3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13AF-70D2-4F91-AC62-FFBB12A04046}">
  <dimension ref="B1:P15"/>
  <sheetViews>
    <sheetView tabSelected="1" workbookViewId="0">
      <selection activeCell="B1" sqref="B1"/>
    </sheetView>
  </sheetViews>
  <sheetFormatPr defaultRowHeight="14.5" x14ac:dyDescent="0.35"/>
  <cols>
    <col min="3" max="3" width="11" customWidth="1"/>
    <col min="4" max="4" width="13.6328125" customWidth="1"/>
    <col min="5" max="5" width="12" customWidth="1"/>
    <col min="6" max="6" width="13.54296875" customWidth="1"/>
    <col min="7" max="7" width="12.54296875" customWidth="1"/>
    <col min="9" max="9" width="9.81640625" bestFit="1" customWidth="1"/>
    <col min="10" max="10" width="11.08984375" customWidth="1"/>
    <col min="11" max="12" width="8.7265625" customWidth="1"/>
    <col min="14" max="14" width="18.36328125" customWidth="1"/>
    <col min="16" max="16" width="14" customWidth="1"/>
  </cols>
  <sheetData>
    <row r="1" spans="2:16" x14ac:dyDescent="0.35">
      <c r="B1" t="s">
        <v>165</v>
      </c>
    </row>
    <row r="2" spans="2:16" x14ac:dyDescent="0.35">
      <c r="B2" t="s">
        <v>117</v>
      </c>
      <c r="D2" s="35" t="s">
        <v>28</v>
      </c>
      <c r="F2" t="s">
        <v>130</v>
      </c>
      <c r="G2" s="34">
        <v>190014581</v>
      </c>
    </row>
    <row r="3" spans="2:16" x14ac:dyDescent="0.35">
      <c r="B3" t="s">
        <v>131</v>
      </c>
    </row>
    <row r="4" spans="2:16" s="65" customFormat="1" ht="55" customHeight="1" x14ac:dyDescent="0.35">
      <c r="B4" s="68" t="s">
        <v>118</v>
      </c>
      <c r="C4" s="68" t="s">
        <v>119</v>
      </c>
      <c r="D4" s="69" t="s">
        <v>7</v>
      </c>
      <c r="E4" s="70" t="s">
        <v>8</v>
      </c>
      <c r="F4" s="71" t="s">
        <v>120</v>
      </c>
      <c r="G4" s="74" t="s">
        <v>9</v>
      </c>
      <c r="H4" s="72" t="s">
        <v>10</v>
      </c>
      <c r="I4" s="73" t="s">
        <v>11</v>
      </c>
      <c r="J4" s="73" t="s">
        <v>12</v>
      </c>
      <c r="K4" s="73" t="s">
        <v>13</v>
      </c>
      <c r="L4" s="73" t="s">
        <v>14</v>
      </c>
      <c r="M4" s="73" t="s">
        <v>15</v>
      </c>
      <c r="N4" s="74" t="s">
        <v>16</v>
      </c>
      <c r="O4" s="74" t="s">
        <v>17</v>
      </c>
      <c r="P4" s="75" t="s">
        <v>18</v>
      </c>
    </row>
    <row r="5" spans="2:16" x14ac:dyDescent="0.35">
      <c r="B5" s="76">
        <v>591</v>
      </c>
      <c r="C5" s="76" t="s">
        <v>20</v>
      </c>
      <c r="D5" s="77">
        <v>45736</v>
      </c>
      <c r="E5" s="78">
        <v>4227297036</v>
      </c>
      <c r="F5" s="79">
        <v>6372</v>
      </c>
      <c r="G5" s="79">
        <v>6372</v>
      </c>
      <c r="H5" s="78">
        <f ca="1">TODAY()-D5</f>
        <v>258</v>
      </c>
      <c r="I5" s="78"/>
      <c r="J5" s="78"/>
      <c r="K5" s="78"/>
      <c r="L5" s="78"/>
      <c r="M5" s="80">
        <f>F5</f>
        <v>6372</v>
      </c>
      <c r="N5" s="79">
        <f>G5</f>
        <v>6372</v>
      </c>
      <c r="O5" s="81" t="s">
        <v>24</v>
      </c>
      <c r="P5" s="82"/>
    </row>
    <row r="6" spans="2:16" x14ac:dyDescent="0.35">
      <c r="B6" s="76">
        <v>591</v>
      </c>
      <c r="C6" s="76" t="s">
        <v>20</v>
      </c>
      <c r="D6" s="77">
        <v>45858</v>
      </c>
      <c r="E6" s="78">
        <v>4227297037</v>
      </c>
      <c r="F6" s="79">
        <v>16591</v>
      </c>
      <c r="G6" s="79">
        <v>16591</v>
      </c>
      <c r="H6" s="78">
        <f ca="1">TODAY()-D6</f>
        <v>136</v>
      </c>
      <c r="I6" s="78"/>
      <c r="J6" s="78"/>
      <c r="K6" s="78"/>
      <c r="L6" s="78">
        <f ca="1">H6</f>
        <v>136</v>
      </c>
      <c r="M6" s="78"/>
      <c r="N6" s="79">
        <f>G6</f>
        <v>16591</v>
      </c>
      <c r="O6" s="81" t="s">
        <v>24</v>
      </c>
      <c r="P6" s="82"/>
    </row>
    <row r="7" spans="2:16" x14ac:dyDescent="0.35">
      <c r="B7" s="76">
        <v>591</v>
      </c>
      <c r="C7" s="76" t="s">
        <v>20</v>
      </c>
      <c r="D7" s="77">
        <v>45920</v>
      </c>
      <c r="E7" s="78">
        <v>4227297035</v>
      </c>
      <c r="F7" s="79">
        <v>28320</v>
      </c>
      <c r="G7" s="79">
        <v>28320</v>
      </c>
      <c r="H7" s="78">
        <f ca="1">TODAY()-D7</f>
        <v>74</v>
      </c>
      <c r="I7" s="78"/>
      <c r="J7" s="80">
        <f>G7</f>
        <v>28320</v>
      </c>
      <c r="K7" s="78"/>
      <c r="L7" s="78"/>
      <c r="M7" s="78"/>
      <c r="N7" s="79"/>
      <c r="O7" s="81" t="s">
        <v>127</v>
      </c>
      <c r="P7" s="82"/>
    </row>
    <row r="8" spans="2:16" x14ac:dyDescent="0.35">
      <c r="B8" s="76">
        <v>591</v>
      </c>
      <c r="C8" s="76" t="s">
        <v>20</v>
      </c>
      <c r="D8" s="77">
        <v>45920</v>
      </c>
      <c r="E8" s="78">
        <v>4227297038</v>
      </c>
      <c r="F8" s="79">
        <v>14927</v>
      </c>
      <c r="G8" s="79">
        <v>14927</v>
      </c>
      <c r="H8" s="78">
        <f ca="1">TODAY()-D8</f>
        <v>74</v>
      </c>
      <c r="I8" s="78"/>
      <c r="J8" s="80">
        <f>G8</f>
        <v>14927</v>
      </c>
      <c r="K8" s="78"/>
      <c r="L8" s="78"/>
      <c r="M8" s="78"/>
      <c r="N8" s="79"/>
      <c r="O8" s="81" t="s">
        <v>127</v>
      </c>
      <c r="P8" s="82"/>
    </row>
    <row r="9" spans="2:16" x14ac:dyDescent="0.35">
      <c r="B9" s="83">
        <v>591</v>
      </c>
      <c r="C9" s="83" t="s">
        <v>20</v>
      </c>
      <c r="D9" s="84">
        <v>45966</v>
      </c>
      <c r="E9" s="85">
        <v>4227299579</v>
      </c>
      <c r="F9" s="86">
        <v>26550</v>
      </c>
      <c r="G9" s="86">
        <v>26550</v>
      </c>
      <c r="H9" s="85">
        <f ca="1">TODAY()-D9</f>
        <v>28</v>
      </c>
      <c r="I9" s="87">
        <f>G9</f>
        <v>26550</v>
      </c>
      <c r="J9" s="85"/>
      <c r="K9" s="85"/>
      <c r="L9" s="85"/>
      <c r="M9" s="85"/>
      <c r="N9" s="86"/>
      <c r="O9" s="88" t="s">
        <v>128</v>
      </c>
      <c r="P9" s="89"/>
    </row>
    <row r="10" spans="2:16" ht="15" thickBot="1" x14ac:dyDescent="0.4">
      <c r="F10" s="66" t="s">
        <v>129</v>
      </c>
      <c r="G10" s="67">
        <f>SUM(G5:G9)</f>
        <v>92760</v>
      </c>
    </row>
    <row r="11" spans="2:16" ht="15" thickTop="1" x14ac:dyDescent="0.35"/>
    <row r="13" spans="2:16" x14ac:dyDescent="0.35">
      <c r="B13" t="s">
        <v>132</v>
      </c>
    </row>
    <row r="14" spans="2:16" x14ac:dyDescent="0.35">
      <c r="B14" t="s">
        <v>126</v>
      </c>
    </row>
    <row r="15" spans="2:16" x14ac:dyDescent="0.35">
      <c r="B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B766-F22C-4196-A6B0-655B61C03AA3}">
  <dimension ref="B2:L38"/>
  <sheetViews>
    <sheetView workbookViewId="0">
      <selection activeCell="H14" sqref="H14"/>
    </sheetView>
  </sheetViews>
  <sheetFormatPr defaultRowHeight="14.5" x14ac:dyDescent="0.35"/>
  <cols>
    <col min="2" max="2" width="11.81640625" customWidth="1"/>
    <col min="3" max="3" width="17.81640625" bestFit="1" customWidth="1"/>
    <col min="4" max="4" width="15.6328125" bestFit="1" customWidth="1"/>
    <col min="5" max="8" width="11.453125" bestFit="1" customWidth="1"/>
    <col min="9" max="9" width="12.453125" bestFit="1" customWidth="1"/>
    <col min="10" max="10" width="11.453125" bestFit="1" customWidth="1"/>
    <col min="11" max="11" width="13.54296875" bestFit="1" customWidth="1"/>
    <col min="12" max="12" width="16.453125" customWidth="1"/>
  </cols>
  <sheetData>
    <row r="2" spans="2:12" x14ac:dyDescent="0.35">
      <c r="B2" t="s">
        <v>166</v>
      </c>
    </row>
    <row r="3" spans="2:12" x14ac:dyDescent="0.35">
      <c r="D3" s="90"/>
      <c r="E3" s="90"/>
      <c r="F3" s="90"/>
      <c r="G3" s="90"/>
      <c r="H3" s="90"/>
      <c r="I3" s="90"/>
      <c r="J3" s="90"/>
      <c r="K3" s="90"/>
    </row>
    <row r="4" spans="2:12" x14ac:dyDescent="0.35">
      <c r="B4" s="101" t="s">
        <v>133</v>
      </c>
      <c r="D4" s="100" t="s">
        <v>134</v>
      </c>
      <c r="E4" s="90"/>
      <c r="F4" s="90"/>
      <c r="G4" s="90"/>
      <c r="H4" s="90"/>
      <c r="I4" s="90"/>
      <c r="J4" s="90"/>
      <c r="K4" s="90"/>
    </row>
    <row r="5" spans="2:12" x14ac:dyDescent="0.35">
      <c r="B5" s="99" t="s">
        <v>119</v>
      </c>
      <c r="C5" s="99" t="s">
        <v>119</v>
      </c>
      <c r="D5" s="91">
        <v>2019</v>
      </c>
      <c r="E5" s="91">
        <v>2020</v>
      </c>
      <c r="F5" s="91">
        <v>2021</v>
      </c>
      <c r="G5" s="91">
        <v>2022</v>
      </c>
      <c r="H5" s="91">
        <v>2023</v>
      </c>
      <c r="I5" s="91">
        <v>2024</v>
      </c>
      <c r="J5" s="91" t="s">
        <v>135</v>
      </c>
      <c r="K5" s="91" t="s">
        <v>115</v>
      </c>
      <c r="L5" s="92" t="s">
        <v>136</v>
      </c>
    </row>
    <row r="6" spans="2:12" x14ac:dyDescent="0.35">
      <c r="B6" s="93">
        <v>409</v>
      </c>
      <c r="C6" s="93" t="s">
        <v>137</v>
      </c>
      <c r="D6" s="94">
        <v>653203.5</v>
      </c>
      <c r="E6" s="94">
        <v>846850</v>
      </c>
      <c r="F6" s="94">
        <v>649135.41999999993</v>
      </c>
      <c r="G6" s="94">
        <v>1250146.1399999999</v>
      </c>
      <c r="H6" s="94">
        <v>1617748.6800000002</v>
      </c>
      <c r="I6" s="94">
        <v>23791161.579999998</v>
      </c>
      <c r="J6" s="94">
        <v>1206568.1399999999</v>
      </c>
      <c r="K6" s="94">
        <v>30014813.460000001</v>
      </c>
      <c r="L6" s="94">
        <v>9004444.0380000006</v>
      </c>
    </row>
    <row r="7" spans="2:12" x14ac:dyDescent="0.35">
      <c r="B7" s="93">
        <v>412</v>
      </c>
      <c r="C7" s="93" t="s">
        <v>138</v>
      </c>
      <c r="D7" s="94">
        <v>741242.23</v>
      </c>
      <c r="E7" s="94">
        <v>1469915.76</v>
      </c>
      <c r="F7" s="94">
        <v>714614.08000000007</v>
      </c>
      <c r="G7" s="94">
        <v>166699.19</v>
      </c>
      <c r="H7" s="94">
        <v>2813872.05</v>
      </c>
      <c r="I7" s="94">
        <v>13490063.239999998</v>
      </c>
      <c r="J7" s="94">
        <v>33959.11</v>
      </c>
      <c r="K7" s="94">
        <v>19430365.659999996</v>
      </c>
      <c r="L7" s="94">
        <v>8743664.5469999984</v>
      </c>
    </row>
    <row r="8" spans="2:12" x14ac:dyDescent="0.35">
      <c r="B8" s="93">
        <v>491</v>
      </c>
      <c r="C8" s="93" t="s">
        <v>139</v>
      </c>
      <c r="D8" s="94">
        <v>122794</v>
      </c>
      <c r="E8" s="94">
        <v>146645.13</v>
      </c>
      <c r="F8" s="94">
        <v>195093.78</v>
      </c>
      <c r="G8" s="94">
        <v>548488.55000000005</v>
      </c>
      <c r="H8" s="94">
        <v>1080683.5</v>
      </c>
      <c r="I8" s="94">
        <v>11270670.5</v>
      </c>
      <c r="J8" s="94">
        <v>29628</v>
      </c>
      <c r="K8" s="94">
        <v>13394003.460000001</v>
      </c>
      <c r="L8" s="94">
        <v>6000000</v>
      </c>
    </row>
    <row r="9" spans="2:12" x14ac:dyDescent="0.35">
      <c r="B9" s="93">
        <v>566</v>
      </c>
      <c r="C9" s="93" t="s">
        <v>140</v>
      </c>
      <c r="D9" s="94">
        <v>148549</v>
      </c>
      <c r="E9" s="94">
        <v>4324.05</v>
      </c>
      <c r="F9" s="94">
        <v>174426.93</v>
      </c>
      <c r="G9" s="94">
        <v>414907.6</v>
      </c>
      <c r="H9" s="94">
        <v>1140609.51</v>
      </c>
      <c r="I9" s="94">
        <v>21389681.360000003</v>
      </c>
      <c r="J9" s="94">
        <v>-11104.5</v>
      </c>
      <c r="K9" s="94">
        <v>23261393.950000003</v>
      </c>
      <c r="L9" s="94">
        <v>15000000</v>
      </c>
    </row>
    <row r="10" spans="2:12" x14ac:dyDescent="0.35">
      <c r="B10" s="93">
        <v>578</v>
      </c>
      <c r="C10" s="93" t="s">
        <v>141</v>
      </c>
      <c r="D10" s="94">
        <v>25294</v>
      </c>
      <c r="E10" s="94">
        <v>500</v>
      </c>
      <c r="F10" s="94">
        <v>19789</v>
      </c>
      <c r="G10" s="94">
        <v>-3539.51</v>
      </c>
      <c r="H10" s="94">
        <v>2103726.25</v>
      </c>
      <c r="I10" s="94">
        <v>17747274.77</v>
      </c>
      <c r="J10" s="94">
        <v>-182</v>
      </c>
      <c r="K10" s="94">
        <v>19892862.509999998</v>
      </c>
      <c r="L10" s="94">
        <v>1200000</v>
      </c>
    </row>
    <row r="11" spans="2:12" x14ac:dyDescent="0.35">
      <c r="B11" s="95" t="s">
        <v>115</v>
      </c>
      <c r="C11" s="96"/>
      <c r="D11" s="97">
        <v>1691082.73</v>
      </c>
      <c r="E11" s="97">
        <v>2468234.9399999995</v>
      </c>
      <c r="F11" s="97">
        <v>1753059.21</v>
      </c>
      <c r="G11" s="97">
        <v>2376701.9700000002</v>
      </c>
      <c r="H11" s="97">
        <v>8756639.9900000002</v>
      </c>
      <c r="I11" s="97">
        <v>87688851.449999988</v>
      </c>
      <c r="J11" s="97">
        <v>1258868.75</v>
      </c>
      <c r="K11" s="97">
        <v>105993439.03999999</v>
      </c>
      <c r="L11" s="98">
        <f>SUM(L6:L10)</f>
        <v>39948108.585000001</v>
      </c>
    </row>
    <row r="13" spans="2:12" x14ac:dyDescent="0.35">
      <c r="B13" t="s">
        <v>2</v>
      </c>
    </row>
    <row r="14" spans="2:12" x14ac:dyDescent="0.35">
      <c r="B14" t="s">
        <v>3</v>
      </c>
    </row>
    <row r="15" spans="2:12" x14ac:dyDescent="0.35">
      <c r="B15" t="s">
        <v>0</v>
      </c>
    </row>
    <row r="16" spans="2:12" x14ac:dyDescent="0.35">
      <c r="B16" t="s">
        <v>4</v>
      </c>
    </row>
    <row r="17" spans="2:2" x14ac:dyDescent="0.35">
      <c r="B17" t="s">
        <v>1</v>
      </c>
    </row>
    <row r="36" spans="2:9" x14ac:dyDescent="0.35">
      <c r="B36" s="113" t="s">
        <v>164</v>
      </c>
      <c r="C36" s="113"/>
      <c r="D36" s="113"/>
      <c r="E36" s="113"/>
      <c r="F36" s="113"/>
      <c r="G36" s="113"/>
      <c r="H36" s="113"/>
      <c r="I36" s="113"/>
    </row>
    <row r="37" spans="2:9" x14ac:dyDescent="0.35">
      <c r="B37" s="113"/>
      <c r="C37" s="113"/>
      <c r="D37" s="113"/>
      <c r="E37" s="113"/>
      <c r="F37" s="113"/>
      <c r="G37" s="113"/>
      <c r="H37" s="113"/>
      <c r="I37" s="113"/>
    </row>
    <row r="38" spans="2:9" x14ac:dyDescent="0.35">
      <c r="B38" s="113"/>
      <c r="C38" s="113"/>
      <c r="D38" s="113"/>
      <c r="E38" s="113"/>
      <c r="F38" s="113"/>
      <c r="G38" s="113"/>
      <c r="H38" s="113"/>
      <c r="I38" s="113"/>
    </row>
  </sheetData>
  <mergeCells count="1">
    <mergeCell ref="B36:I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0B72-DB4F-4CA1-850F-D65F04B0C3BC}">
  <dimension ref="B6:K29"/>
  <sheetViews>
    <sheetView topLeftCell="A4" workbookViewId="0">
      <selection activeCell="F10" sqref="F10"/>
    </sheetView>
  </sheetViews>
  <sheetFormatPr defaultRowHeight="14.5" x14ac:dyDescent="0.35"/>
  <cols>
    <col min="2" max="2" width="10.26953125" customWidth="1"/>
    <col min="3" max="3" width="11.36328125" customWidth="1"/>
    <col min="4" max="4" width="10.6328125" customWidth="1"/>
    <col min="5" max="11" width="13.453125" customWidth="1"/>
  </cols>
  <sheetData>
    <row r="6" spans="2:11" x14ac:dyDescent="0.35">
      <c r="B6" t="s">
        <v>168</v>
      </c>
      <c r="C6" s="104"/>
      <c r="D6" s="104"/>
      <c r="E6" s="104"/>
      <c r="F6" s="104"/>
      <c r="G6" s="104"/>
      <c r="H6" s="104"/>
      <c r="I6" s="104"/>
      <c r="J6" s="104"/>
      <c r="K6" s="104"/>
    </row>
    <row r="7" spans="2:11" x14ac:dyDescent="0.35">
      <c r="B7" s="105"/>
      <c r="C7" s="106">
        <v>2018</v>
      </c>
      <c r="D7" s="106">
        <v>2019</v>
      </c>
      <c r="E7" s="106">
        <v>2020</v>
      </c>
      <c r="F7" s="106">
        <v>2021</v>
      </c>
      <c r="G7" s="106">
        <v>2022</v>
      </c>
      <c r="H7" s="106">
        <v>2023</v>
      </c>
      <c r="I7" s="106">
        <v>2024</v>
      </c>
      <c r="J7" s="106">
        <v>2025</v>
      </c>
      <c r="K7" s="106" t="s">
        <v>115</v>
      </c>
    </row>
    <row r="8" spans="2:11" x14ac:dyDescent="0.35">
      <c r="B8" s="102" t="s">
        <v>151</v>
      </c>
      <c r="C8" s="103"/>
      <c r="D8" s="103"/>
      <c r="E8" s="103"/>
      <c r="F8" s="103"/>
      <c r="G8" s="103"/>
      <c r="H8" s="103"/>
      <c r="I8" s="103"/>
      <c r="J8" s="103">
        <v>35288.42</v>
      </c>
      <c r="K8" s="103">
        <v>35288.42</v>
      </c>
    </row>
    <row r="9" spans="2:11" x14ac:dyDescent="0.35">
      <c r="B9" s="102" t="s">
        <v>152</v>
      </c>
      <c r="C9" s="103"/>
      <c r="D9" s="103"/>
      <c r="E9" s="103">
        <v>1328</v>
      </c>
      <c r="F9" s="103"/>
      <c r="G9" s="103">
        <v>1138</v>
      </c>
      <c r="H9" s="103"/>
      <c r="I9" s="103"/>
      <c r="J9" s="103">
        <v>305997</v>
      </c>
      <c r="K9" s="103">
        <v>308463</v>
      </c>
    </row>
    <row r="10" spans="2:11" x14ac:dyDescent="0.35">
      <c r="B10" s="102" t="s">
        <v>153</v>
      </c>
      <c r="C10" s="103"/>
      <c r="D10" s="103">
        <v>7400</v>
      </c>
      <c r="E10" s="103"/>
      <c r="F10" s="103"/>
      <c r="G10" s="103"/>
      <c r="H10" s="103"/>
      <c r="I10" s="103"/>
      <c r="J10" s="103">
        <v>139450</v>
      </c>
      <c r="K10" s="103">
        <v>146850</v>
      </c>
    </row>
    <row r="11" spans="2:11" x14ac:dyDescent="0.35">
      <c r="B11" s="102" t="s">
        <v>154</v>
      </c>
      <c r="C11" s="103"/>
      <c r="D11" s="103"/>
      <c r="E11" s="103"/>
      <c r="F11" s="103"/>
      <c r="G11" s="103"/>
      <c r="H11" s="103"/>
      <c r="I11" s="103"/>
      <c r="J11" s="103">
        <v>590</v>
      </c>
      <c r="K11" s="103">
        <v>590</v>
      </c>
    </row>
    <row r="12" spans="2:11" x14ac:dyDescent="0.35">
      <c r="B12" s="102" t="s">
        <v>155</v>
      </c>
      <c r="C12" s="103"/>
      <c r="D12" s="103"/>
      <c r="E12" s="103"/>
      <c r="F12" s="103"/>
      <c r="G12" s="103"/>
      <c r="H12" s="103"/>
      <c r="I12" s="103"/>
      <c r="J12" s="103">
        <v>499026</v>
      </c>
      <c r="K12" s="103">
        <v>499026</v>
      </c>
    </row>
    <row r="13" spans="2:11" x14ac:dyDescent="0.35">
      <c r="B13" s="102" t="s">
        <v>156</v>
      </c>
      <c r="C13" s="103"/>
      <c r="D13" s="103"/>
      <c r="E13" s="103">
        <v>4320</v>
      </c>
      <c r="F13" s="103"/>
      <c r="G13" s="103"/>
      <c r="H13" s="103"/>
      <c r="I13" s="103"/>
      <c r="J13" s="103">
        <v>428019.96</v>
      </c>
      <c r="K13" s="103">
        <v>432339.96</v>
      </c>
    </row>
    <row r="14" spans="2:11" x14ac:dyDescent="0.35">
      <c r="B14" s="102" t="s">
        <v>157</v>
      </c>
      <c r="C14" s="103"/>
      <c r="D14" s="103"/>
      <c r="E14" s="103"/>
      <c r="F14" s="103">
        <v>2484</v>
      </c>
      <c r="G14" s="103"/>
      <c r="H14" s="103"/>
      <c r="I14" s="103"/>
      <c r="J14" s="103">
        <v>695122.99</v>
      </c>
      <c r="K14" s="103">
        <v>697606.99</v>
      </c>
    </row>
    <row r="15" spans="2:11" x14ac:dyDescent="0.35">
      <c r="B15" s="102" t="s">
        <v>158</v>
      </c>
      <c r="C15" s="103"/>
      <c r="D15" s="103"/>
      <c r="E15" s="103"/>
      <c r="F15" s="103"/>
      <c r="G15" s="103"/>
      <c r="H15" s="103"/>
      <c r="I15" s="103">
        <v>0.24</v>
      </c>
      <c r="J15" s="103">
        <v>1131713.3799999999</v>
      </c>
      <c r="K15" s="103">
        <v>1131713.6199999999</v>
      </c>
    </row>
    <row r="16" spans="2:11" x14ac:dyDescent="0.35">
      <c r="B16" s="102" t="s">
        <v>159</v>
      </c>
      <c r="C16" s="103"/>
      <c r="D16" s="103"/>
      <c r="E16" s="103"/>
      <c r="F16" s="103"/>
      <c r="G16" s="103"/>
      <c r="H16" s="103"/>
      <c r="I16" s="103">
        <v>19234</v>
      </c>
      <c r="J16" s="103">
        <v>1796604.42</v>
      </c>
      <c r="K16" s="103">
        <v>1815838.42</v>
      </c>
    </row>
    <row r="17" spans="2:11" x14ac:dyDescent="0.35">
      <c r="B17" s="102" t="s">
        <v>160</v>
      </c>
      <c r="C17" s="103"/>
      <c r="D17" s="103"/>
      <c r="E17" s="103">
        <v>4271</v>
      </c>
      <c r="F17" s="103"/>
      <c r="G17" s="103"/>
      <c r="H17" s="103">
        <v>1259</v>
      </c>
      <c r="I17" s="103">
        <v>50764.509999999995</v>
      </c>
      <c r="J17" s="103">
        <v>4413703.7300000004</v>
      </c>
      <c r="K17" s="103">
        <v>4469998.24</v>
      </c>
    </row>
    <row r="18" spans="2:11" x14ac:dyDescent="0.35">
      <c r="B18" s="102" t="s">
        <v>161</v>
      </c>
      <c r="C18" s="103"/>
      <c r="D18" s="103"/>
      <c r="E18" s="103"/>
      <c r="F18" s="103">
        <v>1759</v>
      </c>
      <c r="G18" s="103"/>
      <c r="H18" s="103">
        <v>10401</v>
      </c>
      <c r="I18" s="103">
        <v>6352</v>
      </c>
      <c r="J18" s="103">
        <v>16331.37</v>
      </c>
      <c r="K18" s="103">
        <v>34843.370000000003</v>
      </c>
    </row>
    <row r="19" spans="2:11" x14ac:dyDescent="0.35">
      <c r="B19" s="102" t="s">
        <v>162</v>
      </c>
      <c r="C19" s="103">
        <v>7600</v>
      </c>
      <c r="D19" s="103"/>
      <c r="E19" s="103"/>
      <c r="F19" s="103">
        <v>32969</v>
      </c>
      <c r="G19" s="103">
        <v>1518</v>
      </c>
      <c r="H19" s="103"/>
      <c r="I19" s="103">
        <v>1503</v>
      </c>
      <c r="J19" s="103"/>
      <c r="K19" s="103">
        <v>43590</v>
      </c>
    </row>
    <row r="20" spans="2:11" x14ac:dyDescent="0.35">
      <c r="B20" s="107" t="s">
        <v>115</v>
      </c>
      <c r="C20" s="108">
        <v>7600</v>
      </c>
      <c r="D20" s="108">
        <v>7400</v>
      </c>
      <c r="E20" s="108">
        <v>9919</v>
      </c>
      <c r="F20" s="108">
        <v>37212</v>
      </c>
      <c r="G20" s="108">
        <v>2656</v>
      </c>
      <c r="H20" s="108">
        <v>11660</v>
      </c>
      <c r="I20" s="108">
        <v>77853.75</v>
      </c>
      <c r="J20" s="108">
        <v>9461847.2699999996</v>
      </c>
      <c r="K20" s="108">
        <v>9616148.0199999996</v>
      </c>
    </row>
    <row r="23" spans="2:11" x14ac:dyDescent="0.35">
      <c r="B23" t="s">
        <v>5</v>
      </c>
    </row>
    <row r="24" spans="2:11" x14ac:dyDescent="0.35">
      <c r="B24" t="s">
        <v>0</v>
      </c>
    </row>
    <row r="27" spans="2:11" x14ac:dyDescent="0.35">
      <c r="B27" s="113" t="s">
        <v>163</v>
      </c>
      <c r="C27" s="113"/>
      <c r="D27" s="113"/>
      <c r="E27" s="113"/>
      <c r="F27" s="113"/>
      <c r="G27" s="113"/>
      <c r="H27" s="113"/>
      <c r="I27" s="113"/>
    </row>
    <row r="28" spans="2:11" x14ac:dyDescent="0.35">
      <c r="B28" s="113"/>
      <c r="C28" s="113"/>
      <c r="D28" s="113"/>
      <c r="E28" s="113"/>
      <c r="F28" s="113"/>
      <c r="G28" s="113"/>
      <c r="H28" s="113"/>
      <c r="I28" s="113"/>
    </row>
    <row r="29" spans="2:11" x14ac:dyDescent="0.35">
      <c r="B29" s="113"/>
      <c r="C29" s="113"/>
      <c r="D29" s="113"/>
      <c r="E29" s="113"/>
      <c r="F29" s="113"/>
      <c r="G29" s="113"/>
      <c r="H29" s="113"/>
      <c r="I29" s="113"/>
    </row>
  </sheetData>
  <mergeCells count="1">
    <mergeCell ref="B27:I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ACC-2C20-4C54-AB76-BCE0595EE73F}">
  <dimension ref="B1:R99"/>
  <sheetViews>
    <sheetView topLeftCell="A91" workbookViewId="0">
      <selection activeCell="B2" sqref="B2"/>
    </sheetView>
  </sheetViews>
  <sheetFormatPr defaultRowHeight="14.5" x14ac:dyDescent="0.35"/>
  <cols>
    <col min="2" max="2" width="14.08984375" customWidth="1"/>
    <col min="3" max="3" width="16.54296875" customWidth="1"/>
    <col min="5" max="5" width="15.6328125" customWidth="1"/>
    <col min="6" max="6" width="15.08984375" customWidth="1"/>
    <col min="7" max="7" width="16.54296875" customWidth="1"/>
    <col min="8" max="8" width="16.1796875" customWidth="1"/>
    <col min="9" max="9" width="16.36328125" customWidth="1"/>
    <col min="16" max="16" width="19.26953125" customWidth="1"/>
    <col min="18" max="18" width="17.6328125" customWidth="1"/>
  </cols>
  <sheetData>
    <row r="1" spans="2:18" x14ac:dyDescent="0.35">
      <c r="B1" t="s">
        <v>169</v>
      </c>
    </row>
    <row r="2" spans="2:18" x14ac:dyDescent="0.35">
      <c r="B2" s="2"/>
      <c r="C2" s="2" t="s">
        <v>6</v>
      </c>
      <c r="D2" s="2"/>
      <c r="E2" s="2"/>
      <c r="F2" s="2"/>
      <c r="G2" s="3"/>
      <c r="H2" s="2"/>
      <c r="I2" s="2"/>
      <c r="J2" s="3"/>
      <c r="K2" s="3"/>
      <c r="L2" s="3"/>
      <c r="M2" s="3"/>
      <c r="N2" s="3"/>
      <c r="O2" s="3"/>
      <c r="P2" s="2"/>
      <c r="Q2" s="2"/>
      <c r="R2" s="4"/>
    </row>
    <row r="3" spans="2:18" ht="30.5" customHeight="1" x14ac:dyDescent="0.35">
      <c r="B3" s="5" t="s">
        <v>116</v>
      </c>
      <c r="C3" s="5" t="s">
        <v>117</v>
      </c>
      <c r="D3" s="5" t="s">
        <v>118</v>
      </c>
      <c r="E3" s="5" t="s">
        <v>119</v>
      </c>
      <c r="F3" s="6" t="s">
        <v>7</v>
      </c>
      <c r="G3" s="7" t="s">
        <v>8</v>
      </c>
      <c r="H3" s="8" t="s">
        <v>120</v>
      </c>
      <c r="I3" s="5" t="s">
        <v>9</v>
      </c>
      <c r="J3" s="9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1" t="s">
        <v>16</v>
      </c>
      <c r="Q3" s="11" t="s">
        <v>17</v>
      </c>
      <c r="R3" s="12" t="s">
        <v>18</v>
      </c>
    </row>
    <row r="4" spans="2:18" x14ac:dyDescent="0.35">
      <c r="B4" s="13">
        <v>190014803</v>
      </c>
      <c r="C4" s="14" t="s">
        <v>19</v>
      </c>
      <c r="D4" s="13">
        <v>591</v>
      </c>
      <c r="E4" s="13" t="s">
        <v>20</v>
      </c>
      <c r="F4" s="15">
        <v>45496</v>
      </c>
      <c r="G4" s="16">
        <v>4227288588</v>
      </c>
      <c r="H4" s="17">
        <v>54583</v>
      </c>
      <c r="I4" s="18">
        <v>17583</v>
      </c>
      <c r="J4" s="16">
        <f ca="1">TODAY()-F4</f>
        <v>498</v>
      </c>
      <c r="K4" s="16"/>
      <c r="L4" s="16"/>
      <c r="M4" s="16"/>
      <c r="N4" s="16"/>
      <c r="O4" s="16"/>
      <c r="P4" s="17"/>
      <c r="Q4" s="19"/>
      <c r="R4" s="109" t="s">
        <v>21</v>
      </c>
    </row>
    <row r="5" spans="2:18" x14ac:dyDescent="0.35">
      <c r="B5" s="20">
        <v>190014803</v>
      </c>
      <c r="C5" s="21" t="s">
        <v>19</v>
      </c>
      <c r="D5" s="20">
        <v>591</v>
      </c>
      <c r="E5" s="13" t="s">
        <v>20</v>
      </c>
      <c r="F5" s="22">
        <v>45509</v>
      </c>
      <c r="G5" s="23">
        <v>4227291005</v>
      </c>
      <c r="H5" s="19">
        <v>12443</v>
      </c>
      <c r="I5" s="24">
        <v>12443</v>
      </c>
      <c r="J5" s="16">
        <f ca="1">TODAY()-F5</f>
        <v>485</v>
      </c>
      <c r="K5" s="16"/>
      <c r="L5" s="16"/>
      <c r="M5" s="16"/>
      <c r="N5" s="16"/>
      <c r="O5" s="16"/>
      <c r="P5" s="17"/>
      <c r="Q5" s="25"/>
      <c r="R5" s="110"/>
    </row>
    <row r="6" spans="2:18" x14ac:dyDescent="0.35">
      <c r="B6" s="26" t="s">
        <v>22</v>
      </c>
      <c r="C6" s="27"/>
      <c r="D6" s="27"/>
      <c r="E6" s="27"/>
      <c r="F6" s="28"/>
      <c r="G6" s="29"/>
      <c r="H6" s="30"/>
      <c r="I6" s="30">
        <f>SUBTOTAL(9,I4:I5)</f>
        <v>30026</v>
      </c>
      <c r="J6" s="31"/>
      <c r="K6" s="31"/>
      <c r="L6" s="31"/>
      <c r="M6" s="31"/>
      <c r="N6" s="31"/>
      <c r="O6" s="31"/>
      <c r="P6" s="32"/>
      <c r="Q6" s="32"/>
      <c r="R6" s="33"/>
    </row>
    <row r="7" spans="2:18" x14ac:dyDescent="0.35">
      <c r="B7" s="34">
        <v>190015296</v>
      </c>
      <c r="C7" s="35" t="s">
        <v>23</v>
      </c>
      <c r="D7" s="34">
        <v>591</v>
      </c>
      <c r="E7" s="13" t="s">
        <v>20</v>
      </c>
      <c r="F7" s="36">
        <v>45565</v>
      </c>
      <c r="G7" s="37">
        <v>4227298445</v>
      </c>
      <c r="H7" s="25">
        <v>17150</v>
      </c>
      <c r="I7" s="25">
        <v>7150</v>
      </c>
      <c r="J7" s="16">
        <f ca="1">TODAY()-F7</f>
        <v>429</v>
      </c>
      <c r="K7" s="16"/>
      <c r="L7" s="16"/>
      <c r="M7" s="16"/>
      <c r="N7" s="16"/>
      <c r="O7" s="16"/>
      <c r="P7" s="17">
        <f>I7</f>
        <v>7150</v>
      </c>
      <c r="Q7" s="38" t="s">
        <v>24</v>
      </c>
      <c r="R7" s="38"/>
    </row>
    <row r="8" spans="2:18" x14ac:dyDescent="0.35">
      <c r="B8" s="13">
        <v>190015296</v>
      </c>
      <c r="C8" s="14" t="s">
        <v>23</v>
      </c>
      <c r="D8" s="13">
        <v>591</v>
      </c>
      <c r="E8" s="13" t="s">
        <v>20</v>
      </c>
      <c r="F8" s="15">
        <v>45569</v>
      </c>
      <c r="G8" s="16">
        <v>4227299415</v>
      </c>
      <c r="H8" s="17">
        <v>25233</v>
      </c>
      <c r="I8" s="18">
        <v>15783</v>
      </c>
      <c r="J8" s="16">
        <f ca="1">TODAY()-F8</f>
        <v>425</v>
      </c>
      <c r="K8" s="16"/>
      <c r="L8" s="16"/>
      <c r="M8" s="16"/>
      <c r="N8" s="16"/>
      <c r="O8" s="16"/>
      <c r="P8" s="17">
        <f>10000-P7</f>
        <v>2850</v>
      </c>
      <c r="Q8" s="17"/>
      <c r="R8" s="39" t="s">
        <v>25</v>
      </c>
    </row>
    <row r="9" spans="2:18" x14ac:dyDescent="0.35">
      <c r="B9" s="20">
        <v>190015296</v>
      </c>
      <c r="C9" s="21" t="s">
        <v>23</v>
      </c>
      <c r="D9" s="20">
        <v>591</v>
      </c>
      <c r="E9" s="13" t="s">
        <v>20</v>
      </c>
      <c r="F9" s="22">
        <v>45569</v>
      </c>
      <c r="G9" s="23">
        <v>4227299373</v>
      </c>
      <c r="H9" s="19">
        <v>3400</v>
      </c>
      <c r="I9" s="19">
        <v>0</v>
      </c>
      <c r="J9" s="16">
        <f ca="1">TODAY()-F9</f>
        <v>425</v>
      </c>
      <c r="K9" s="16"/>
      <c r="L9" s="16"/>
      <c r="M9" s="16"/>
      <c r="N9" s="16"/>
      <c r="O9" s="16"/>
      <c r="P9" s="17"/>
      <c r="Q9" s="17"/>
      <c r="R9" s="39" t="s">
        <v>26</v>
      </c>
    </row>
    <row r="10" spans="2:18" x14ac:dyDescent="0.35">
      <c r="B10" s="26" t="s">
        <v>27</v>
      </c>
      <c r="C10" s="27"/>
      <c r="D10" s="27"/>
      <c r="E10" s="27"/>
      <c r="F10" s="28"/>
      <c r="G10" s="29"/>
      <c r="H10" s="30"/>
      <c r="I10" s="30">
        <f>SUBTOTAL(9,I7:I9)</f>
        <v>22933</v>
      </c>
      <c r="J10" s="31"/>
      <c r="K10" s="31"/>
      <c r="L10" s="31"/>
      <c r="M10" s="31"/>
      <c r="N10" s="31"/>
      <c r="O10" s="31"/>
      <c r="P10" s="32"/>
      <c r="Q10" s="32"/>
      <c r="R10" s="33"/>
    </row>
    <row r="11" spans="2:18" x14ac:dyDescent="0.35">
      <c r="B11" s="34">
        <v>190014581</v>
      </c>
      <c r="C11" s="35" t="s">
        <v>28</v>
      </c>
      <c r="D11" s="34">
        <v>591</v>
      </c>
      <c r="E11" s="13" t="s">
        <v>20</v>
      </c>
      <c r="F11" s="36">
        <v>45555</v>
      </c>
      <c r="G11" s="37">
        <v>4227297036</v>
      </c>
      <c r="H11" s="25">
        <v>6372</v>
      </c>
      <c r="I11" s="25">
        <v>6372</v>
      </c>
      <c r="J11" s="16">
        <f ca="1">TODAY()-F11</f>
        <v>439</v>
      </c>
      <c r="K11" s="16"/>
      <c r="L11" s="16"/>
      <c r="M11" s="16"/>
      <c r="N11" s="16"/>
      <c r="O11" s="16"/>
      <c r="P11" s="17">
        <f>I11</f>
        <v>6372</v>
      </c>
      <c r="Q11" s="38" t="s">
        <v>24</v>
      </c>
      <c r="R11" s="2"/>
    </row>
    <row r="12" spans="2:18" x14ac:dyDescent="0.35">
      <c r="B12" s="13">
        <v>190014581</v>
      </c>
      <c r="C12" s="14" t="s">
        <v>28</v>
      </c>
      <c r="D12" s="13">
        <v>591</v>
      </c>
      <c r="E12" s="13" t="s">
        <v>20</v>
      </c>
      <c r="F12" s="15">
        <v>45555</v>
      </c>
      <c r="G12" s="16">
        <v>4227297037</v>
      </c>
      <c r="H12" s="17">
        <v>16591</v>
      </c>
      <c r="I12" s="17">
        <v>16591</v>
      </c>
      <c r="J12" s="16">
        <f ca="1">TODAY()-F12</f>
        <v>439</v>
      </c>
      <c r="K12" s="16"/>
      <c r="L12" s="16"/>
      <c r="M12" s="16"/>
      <c r="N12" s="16"/>
      <c r="O12" s="16"/>
      <c r="P12" s="17">
        <f>I12</f>
        <v>16591</v>
      </c>
      <c r="Q12" s="38" t="s">
        <v>24</v>
      </c>
      <c r="R12" s="2"/>
    </row>
    <row r="13" spans="2:18" x14ac:dyDescent="0.35">
      <c r="B13" s="13">
        <v>190014581</v>
      </c>
      <c r="C13" s="14" t="s">
        <v>28</v>
      </c>
      <c r="D13" s="13">
        <v>591</v>
      </c>
      <c r="E13" s="13" t="s">
        <v>20</v>
      </c>
      <c r="F13" s="15">
        <v>45555</v>
      </c>
      <c r="G13" s="16">
        <v>4227297035</v>
      </c>
      <c r="H13" s="17">
        <v>28320</v>
      </c>
      <c r="I13" s="17">
        <v>28320</v>
      </c>
      <c r="J13" s="16">
        <f ca="1">TODAY()-F13</f>
        <v>439</v>
      </c>
      <c r="K13" s="16"/>
      <c r="L13" s="16"/>
      <c r="M13" s="16"/>
      <c r="N13" s="16"/>
      <c r="O13" s="16"/>
      <c r="P13" s="17">
        <f>I13</f>
        <v>28320</v>
      </c>
      <c r="Q13" s="38" t="s">
        <v>24</v>
      </c>
      <c r="R13" s="2"/>
    </row>
    <row r="14" spans="2:18" x14ac:dyDescent="0.35">
      <c r="B14" s="13">
        <v>190014581</v>
      </c>
      <c r="C14" s="14" t="s">
        <v>28</v>
      </c>
      <c r="D14" s="13">
        <v>591</v>
      </c>
      <c r="E14" s="13" t="s">
        <v>20</v>
      </c>
      <c r="F14" s="15">
        <v>45555</v>
      </c>
      <c r="G14" s="16">
        <v>4227297038</v>
      </c>
      <c r="H14" s="17">
        <v>14927</v>
      </c>
      <c r="I14" s="17">
        <v>14927</v>
      </c>
      <c r="J14" s="16">
        <f ca="1">TODAY()-F14</f>
        <v>439</v>
      </c>
      <c r="K14" s="16"/>
      <c r="L14" s="16"/>
      <c r="M14" s="16"/>
      <c r="N14" s="16"/>
      <c r="O14" s="16"/>
      <c r="P14" s="17">
        <f>I14</f>
        <v>14927</v>
      </c>
      <c r="Q14" s="38" t="s">
        <v>24</v>
      </c>
      <c r="R14" s="2"/>
    </row>
    <row r="15" spans="2:18" x14ac:dyDescent="0.35">
      <c r="B15" s="20">
        <v>190014581</v>
      </c>
      <c r="C15" s="21" t="s">
        <v>28</v>
      </c>
      <c r="D15" s="20">
        <v>591</v>
      </c>
      <c r="E15" s="13" t="s">
        <v>20</v>
      </c>
      <c r="F15" s="22">
        <v>45570</v>
      </c>
      <c r="G15" s="23">
        <v>4227299579</v>
      </c>
      <c r="H15" s="19">
        <v>26550</v>
      </c>
      <c r="I15" s="19">
        <v>26550</v>
      </c>
      <c r="J15" s="16">
        <f ca="1">TODAY()-F15</f>
        <v>424</v>
      </c>
      <c r="K15" s="16"/>
      <c r="L15" s="16"/>
      <c r="M15" s="16"/>
      <c r="N15" s="16"/>
      <c r="O15" s="16"/>
      <c r="P15" s="17">
        <f>I15</f>
        <v>26550</v>
      </c>
      <c r="Q15" s="38" t="s">
        <v>24</v>
      </c>
      <c r="R15" s="2"/>
    </row>
    <row r="16" spans="2:18" x14ac:dyDescent="0.35">
      <c r="B16" s="26" t="s">
        <v>29</v>
      </c>
      <c r="C16" s="27"/>
      <c r="D16" s="27"/>
      <c r="E16" s="27"/>
      <c r="F16" s="28"/>
      <c r="G16" s="29"/>
      <c r="H16" s="30"/>
      <c r="I16" s="30">
        <f>SUBTOTAL(9,I11:I15)</f>
        <v>92760</v>
      </c>
      <c r="J16" s="31"/>
      <c r="K16" s="31"/>
      <c r="L16" s="31"/>
      <c r="M16" s="31"/>
      <c r="N16" s="31"/>
      <c r="O16" s="31"/>
      <c r="P16" s="32"/>
      <c r="Q16" s="32"/>
      <c r="R16" s="33"/>
    </row>
    <row r="17" spans="2:18" x14ac:dyDescent="0.35">
      <c r="B17" s="40">
        <v>190014955</v>
      </c>
      <c r="C17" s="41" t="s">
        <v>30</v>
      </c>
      <c r="D17" s="40">
        <v>591</v>
      </c>
      <c r="E17" s="40"/>
      <c r="F17" s="42">
        <v>45511</v>
      </c>
      <c r="G17" s="43">
        <v>4227291308</v>
      </c>
      <c r="H17" s="44">
        <v>11900</v>
      </c>
      <c r="I17" s="44">
        <v>11900</v>
      </c>
      <c r="J17" s="16">
        <f ca="1">TODAY()-F17</f>
        <v>483</v>
      </c>
      <c r="K17" s="16"/>
      <c r="L17" s="16"/>
      <c r="M17" s="16"/>
      <c r="N17" s="16"/>
      <c r="O17" s="16"/>
      <c r="P17" s="17"/>
      <c r="Q17" s="17"/>
      <c r="R17" s="39" t="s">
        <v>31</v>
      </c>
    </row>
    <row r="18" spans="2:18" x14ac:dyDescent="0.35">
      <c r="B18" s="26" t="s">
        <v>32</v>
      </c>
      <c r="C18" s="27"/>
      <c r="D18" s="27"/>
      <c r="E18" s="27"/>
      <c r="F18" s="28"/>
      <c r="G18" s="29"/>
      <c r="H18" s="30"/>
      <c r="I18" s="30">
        <f>SUBTOTAL(9,I17:I17)</f>
        <v>11900</v>
      </c>
      <c r="J18" s="31"/>
      <c r="K18" s="31"/>
      <c r="L18" s="31"/>
      <c r="M18" s="31"/>
      <c r="N18" s="31"/>
      <c r="O18" s="31"/>
      <c r="P18" s="32"/>
      <c r="Q18" s="32"/>
      <c r="R18" s="33"/>
    </row>
    <row r="19" spans="2:18" x14ac:dyDescent="0.35">
      <c r="B19" s="40">
        <v>190015202</v>
      </c>
      <c r="C19" s="41" t="s">
        <v>33</v>
      </c>
      <c r="D19" s="40">
        <v>591</v>
      </c>
      <c r="E19" s="40"/>
      <c r="F19" s="42">
        <v>45555</v>
      </c>
      <c r="G19" s="43">
        <v>4227296903</v>
      </c>
      <c r="H19" s="44">
        <v>1381</v>
      </c>
      <c r="I19" s="44">
        <v>1381</v>
      </c>
      <c r="J19" s="16">
        <f ca="1">TODAY()-F19</f>
        <v>439</v>
      </c>
      <c r="K19" s="16"/>
      <c r="L19" s="16"/>
      <c r="M19" s="16"/>
      <c r="N19" s="16"/>
      <c r="O19" s="16"/>
      <c r="P19" s="17">
        <f>I19</f>
        <v>1381</v>
      </c>
      <c r="Q19" s="17" t="s">
        <v>34</v>
      </c>
      <c r="R19" s="38" t="s">
        <v>35</v>
      </c>
    </row>
    <row r="20" spans="2:18" x14ac:dyDescent="0.35">
      <c r="B20" s="26" t="s">
        <v>36</v>
      </c>
      <c r="C20" s="27"/>
      <c r="D20" s="27"/>
      <c r="E20" s="27"/>
      <c r="F20" s="28"/>
      <c r="G20" s="29"/>
      <c r="H20" s="30"/>
      <c r="I20" s="30">
        <f>SUBTOTAL(9,I19:I19)</f>
        <v>1381</v>
      </c>
      <c r="J20" s="31"/>
      <c r="K20" s="31"/>
      <c r="L20" s="31"/>
      <c r="M20" s="31"/>
      <c r="N20" s="31"/>
      <c r="O20" s="31"/>
      <c r="P20" s="32"/>
      <c r="Q20" s="32"/>
      <c r="R20" s="33"/>
    </row>
    <row r="21" spans="2:18" x14ac:dyDescent="0.35">
      <c r="B21" s="40">
        <v>190014572</v>
      </c>
      <c r="C21" s="41" t="s">
        <v>37</v>
      </c>
      <c r="D21" s="40">
        <v>591</v>
      </c>
      <c r="E21" s="40"/>
      <c r="F21" s="42">
        <v>45497</v>
      </c>
      <c r="G21" s="43">
        <v>4227288822</v>
      </c>
      <c r="H21" s="44">
        <v>8400</v>
      </c>
      <c r="I21" s="45">
        <v>8400</v>
      </c>
      <c r="J21" s="16">
        <f ca="1">TODAY()-F21</f>
        <v>497</v>
      </c>
      <c r="K21" s="16"/>
      <c r="L21" s="16"/>
      <c r="M21" s="16"/>
      <c r="N21" s="16"/>
      <c r="O21" s="16"/>
      <c r="P21" s="17"/>
      <c r="Q21" s="17"/>
      <c r="R21" s="39" t="s">
        <v>38</v>
      </c>
    </row>
    <row r="22" spans="2:18" x14ac:dyDescent="0.35">
      <c r="B22" s="26" t="s">
        <v>39</v>
      </c>
      <c r="C22" s="27"/>
      <c r="D22" s="27"/>
      <c r="E22" s="27"/>
      <c r="F22" s="28"/>
      <c r="G22" s="29"/>
      <c r="H22" s="30"/>
      <c r="I22" s="30">
        <f>SUBTOTAL(9,I21:I21)</f>
        <v>8400</v>
      </c>
      <c r="J22" s="31"/>
      <c r="K22" s="31"/>
      <c r="L22" s="31"/>
      <c r="M22" s="31"/>
      <c r="N22" s="31"/>
      <c r="O22" s="31"/>
      <c r="P22" s="32"/>
      <c r="Q22" s="32"/>
      <c r="R22" s="33"/>
    </row>
    <row r="23" spans="2:18" x14ac:dyDescent="0.35">
      <c r="B23" s="34">
        <v>190010172</v>
      </c>
      <c r="C23" s="35" t="s">
        <v>40</v>
      </c>
      <c r="D23" s="34">
        <v>591</v>
      </c>
      <c r="E23" s="34"/>
      <c r="F23" s="36">
        <v>45065</v>
      </c>
      <c r="G23" s="46" t="s">
        <v>41</v>
      </c>
      <c r="H23" s="25">
        <v>-6141</v>
      </c>
      <c r="I23" s="25">
        <v>0</v>
      </c>
      <c r="J23" s="16">
        <f ca="1">TODAY()-F23</f>
        <v>929</v>
      </c>
      <c r="K23" s="16"/>
      <c r="L23" s="16"/>
      <c r="M23" s="16"/>
      <c r="N23" s="16"/>
      <c r="O23" s="16"/>
      <c r="P23" s="17"/>
      <c r="Q23" s="17"/>
      <c r="R23" s="39"/>
    </row>
    <row r="24" spans="2:18" ht="78" x14ac:dyDescent="0.35">
      <c r="B24" s="13">
        <v>190010172</v>
      </c>
      <c r="C24" s="14" t="s">
        <v>40</v>
      </c>
      <c r="D24" s="13">
        <v>591</v>
      </c>
      <c r="E24" s="13"/>
      <c r="F24" s="15">
        <v>45596</v>
      </c>
      <c r="G24" s="16">
        <v>4227303854</v>
      </c>
      <c r="H24" s="17">
        <v>7200</v>
      </c>
      <c r="I24" s="18">
        <v>1059</v>
      </c>
      <c r="J24" s="16">
        <f ca="1">TODAY()-F24</f>
        <v>398</v>
      </c>
      <c r="K24" s="16"/>
      <c r="L24" s="16"/>
      <c r="M24" s="16"/>
      <c r="N24" s="16"/>
      <c r="O24" s="16"/>
      <c r="P24" s="17"/>
      <c r="Q24" s="17"/>
      <c r="R24" s="47" t="s">
        <v>42</v>
      </c>
    </row>
    <row r="25" spans="2:18" x14ac:dyDescent="0.35">
      <c r="B25" s="20">
        <v>190010172</v>
      </c>
      <c r="C25" s="21" t="s">
        <v>40</v>
      </c>
      <c r="D25" s="20">
        <v>591</v>
      </c>
      <c r="E25" s="20"/>
      <c r="F25" s="22">
        <v>45596</v>
      </c>
      <c r="G25" s="23">
        <v>4227303805</v>
      </c>
      <c r="H25" s="19">
        <v>64900</v>
      </c>
      <c r="I25" s="24">
        <v>29900</v>
      </c>
      <c r="J25" s="16">
        <f ca="1">TODAY()-F25</f>
        <v>398</v>
      </c>
      <c r="K25" s="16"/>
      <c r="L25" s="16"/>
      <c r="M25" s="16"/>
      <c r="N25" s="16"/>
      <c r="O25" s="16"/>
      <c r="P25" s="17"/>
      <c r="Q25" s="17"/>
      <c r="R25" s="39"/>
    </row>
    <row r="26" spans="2:18" x14ac:dyDescent="0.35">
      <c r="B26" s="26" t="s">
        <v>43</v>
      </c>
      <c r="C26" s="27"/>
      <c r="D26" s="27"/>
      <c r="E26" s="27"/>
      <c r="F26" s="28"/>
      <c r="G26" s="29"/>
      <c r="H26" s="30"/>
      <c r="I26" s="30">
        <f>SUBTOTAL(9,I23:I25)</f>
        <v>30959</v>
      </c>
      <c r="J26" s="31"/>
      <c r="K26" s="31"/>
      <c r="L26" s="31"/>
      <c r="M26" s="31"/>
      <c r="N26" s="31"/>
      <c r="O26" s="31"/>
      <c r="P26" s="32"/>
      <c r="Q26" s="32"/>
      <c r="R26" s="33"/>
    </row>
    <row r="27" spans="2:18" x14ac:dyDescent="0.35">
      <c r="B27" s="34">
        <v>190014586</v>
      </c>
      <c r="C27" s="35" t="s">
        <v>44</v>
      </c>
      <c r="D27" s="34">
        <v>591</v>
      </c>
      <c r="E27" s="34"/>
      <c r="F27" s="36">
        <v>45548</v>
      </c>
      <c r="G27" s="37">
        <v>234455</v>
      </c>
      <c r="H27" s="25">
        <v>-194</v>
      </c>
      <c r="I27" s="25">
        <v>-194</v>
      </c>
      <c r="J27" s="16">
        <f ca="1">TODAY()-F27</f>
        <v>446</v>
      </c>
      <c r="K27" s="16"/>
      <c r="L27" s="16"/>
      <c r="M27" s="16"/>
      <c r="N27" s="16"/>
      <c r="O27" s="16"/>
      <c r="P27" s="17"/>
      <c r="Q27" s="17"/>
      <c r="R27" s="39"/>
    </row>
    <row r="28" spans="2:18" x14ac:dyDescent="0.35">
      <c r="B28" s="20">
        <v>190014586</v>
      </c>
      <c r="C28" s="21" t="s">
        <v>44</v>
      </c>
      <c r="D28" s="20">
        <v>591</v>
      </c>
      <c r="E28" s="20"/>
      <c r="F28" s="22">
        <v>45586</v>
      </c>
      <c r="G28" s="23">
        <v>4227301531</v>
      </c>
      <c r="H28" s="19">
        <v>18766</v>
      </c>
      <c r="I28" s="19">
        <v>18766</v>
      </c>
      <c r="J28" s="16">
        <f ca="1">TODAY()-F28</f>
        <v>408</v>
      </c>
      <c r="K28" s="16"/>
      <c r="L28" s="16"/>
      <c r="M28" s="16"/>
      <c r="N28" s="16"/>
      <c r="O28" s="16"/>
      <c r="P28" s="17"/>
      <c r="Q28" s="17"/>
      <c r="R28" s="39" t="s">
        <v>45</v>
      </c>
    </row>
    <row r="29" spans="2:18" x14ac:dyDescent="0.35">
      <c r="B29" s="26" t="s">
        <v>46</v>
      </c>
      <c r="C29" s="27"/>
      <c r="D29" s="27"/>
      <c r="E29" s="27"/>
      <c r="F29" s="28"/>
      <c r="G29" s="29"/>
      <c r="H29" s="30"/>
      <c r="I29" s="30">
        <f>SUBTOTAL(9,I27:I28)</f>
        <v>18572</v>
      </c>
      <c r="J29" s="31"/>
      <c r="K29" s="31"/>
      <c r="L29" s="31"/>
      <c r="M29" s="31"/>
      <c r="N29" s="31"/>
      <c r="O29" s="31"/>
      <c r="P29" s="32"/>
      <c r="Q29" s="32"/>
      <c r="R29" s="33"/>
    </row>
    <row r="30" spans="2:18" x14ac:dyDescent="0.35">
      <c r="B30" s="40">
        <v>190015864</v>
      </c>
      <c r="C30" s="41" t="s">
        <v>47</v>
      </c>
      <c r="D30" s="40">
        <v>591</v>
      </c>
      <c r="E30" s="40"/>
      <c r="F30" s="42">
        <v>45596</v>
      </c>
      <c r="G30" s="43">
        <v>4227303881</v>
      </c>
      <c r="H30" s="44">
        <v>5173</v>
      </c>
      <c r="I30" s="44">
        <v>5173</v>
      </c>
      <c r="J30" s="16">
        <f ca="1">TODAY()-F30</f>
        <v>398</v>
      </c>
      <c r="K30" s="16"/>
      <c r="L30" s="16"/>
      <c r="M30" s="16"/>
      <c r="N30" s="16"/>
      <c r="O30" s="16"/>
      <c r="P30" s="17">
        <f>I30</f>
        <v>5173</v>
      </c>
      <c r="Q30" s="38" t="s">
        <v>24</v>
      </c>
      <c r="R30" s="38" t="s">
        <v>35</v>
      </c>
    </row>
    <row r="31" spans="2:18" x14ac:dyDescent="0.35">
      <c r="B31" s="26" t="s">
        <v>48</v>
      </c>
      <c r="C31" s="27"/>
      <c r="D31" s="27"/>
      <c r="E31" s="27"/>
      <c r="F31" s="28"/>
      <c r="G31" s="29"/>
      <c r="H31" s="30"/>
      <c r="I31" s="30">
        <f>SUBTOTAL(9,I30:I30)</f>
        <v>5173</v>
      </c>
      <c r="J31" s="31"/>
      <c r="K31" s="31"/>
      <c r="L31" s="31"/>
      <c r="M31" s="31"/>
      <c r="N31" s="31"/>
      <c r="O31" s="31"/>
      <c r="P31" s="32"/>
      <c r="Q31" s="32"/>
      <c r="R31" s="33"/>
    </row>
    <row r="32" spans="2:18" x14ac:dyDescent="0.35">
      <c r="B32" s="40">
        <v>190015653</v>
      </c>
      <c r="C32" s="41" t="s">
        <v>49</v>
      </c>
      <c r="D32" s="40">
        <v>591</v>
      </c>
      <c r="E32" s="40"/>
      <c r="F32" s="42">
        <v>45589</v>
      </c>
      <c r="G32" s="43">
        <v>4227302035</v>
      </c>
      <c r="H32" s="44">
        <v>3499</v>
      </c>
      <c r="I32" s="44">
        <v>0</v>
      </c>
      <c r="J32" s="16">
        <f ca="1">TODAY()-F32</f>
        <v>405</v>
      </c>
      <c r="K32" s="16"/>
      <c r="L32" s="16"/>
      <c r="M32" s="16"/>
      <c r="N32" s="16"/>
      <c r="O32" s="16"/>
      <c r="P32" s="17"/>
      <c r="Q32" s="17"/>
      <c r="R32" s="39" t="s">
        <v>50</v>
      </c>
    </row>
    <row r="33" spans="2:18" x14ac:dyDescent="0.35">
      <c r="B33" s="26" t="s">
        <v>51</v>
      </c>
      <c r="C33" s="27"/>
      <c r="D33" s="27"/>
      <c r="E33" s="27"/>
      <c r="F33" s="28"/>
      <c r="G33" s="29"/>
      <c r="H33" s="30"/>
      <c r="I33" s="30">
        <f>SUBTOTAL(9,I32:I32)</f>
        <v>0</v>
      </c>
      <c r="J33" s="31"/>
      <c r="K33" s="31"/>
      <c r="L33" s="31"/>
      <c r="M33" s="31"/>
      <c r="N33" s="31"/>
      <c r="O33" s="31"/>
      <c r="P33" s="32"/>
      <c r="Q33" s="32"/>
      <c r="R33" s="33"/>
    </row>
    <row r="34" spans="2:18" x14ac:dyDescent="0.35">
      <c r="B34" s="40">
        <v>190007318</v>
      </c>
      <c r="C34" s="41" t="s">
        <v>52</v>
      </c>
      <c r="D34" s="40">
        <v>591</v>
      </c>
      <c r="E34" s="40"/>
      <c r="F34" s="42">
        <v>45498</v>
      </c>
      <c r="G34" s="43">
        <v>4227289062</v>
      </c>
      <c r="H34" s="44">
        <v>18172</v>
      </c>
      <c r="I34" s="44">
        <v>18172</v>
      </c>
      <c r="J34" s="16">
        <f ca="1">TODAY()-F34</f>
        <v>496</v>
      </c>
      <c r="K34" s="16"/>
      <c r="L34" s="16"/>
      <c r="M34" s="16"/>
      <c r="N34" s="16"/>
      <c r="O34" s="16"/>
      <c r="P34" s="17"/>
      <c r="Q34" s="17"/>
      <c r="R34" s="39" t="s">
        <v>53</v>
      </c>
    </row>
    <row r="35" spans="2:18" x14ac:dyDescent="0.35">
      <c r="B35" s="26" t="s">
        <v>54</v>
      </c>
      <c r="C35" s="27"/>
      <c r="D35" s="27"/>
      <c r="E35" s="27"/>
      <c r="F35" s="28"/>
      <c r="G35" s="29"/>
      <c r="H35" s="30"/>
      <c r="I35" s="30">
        <f>SUBTOTAL(9,I34:I34)</f>
        <v>18172</v>
      </c>
      <c r="J35" s="31"/>
      <c r="K35" s="31"/>
      <c r="L35" s="31"/>
      <c r="M35" s="31"/>
      <c r="N35" s="31"/>
      <c r="O35" s="31"/>
      <c r="P35" s="32"/>
      <c r="Q35" s="32"/>
      <c r="R35" s="33"/>
    </row>
    <row r="36" spans="2:18" x14ac:dyDescent="0.35">
      <c r="B36" s="40">
        <v>190006904</v>
      </c>
      <c r="C36" s="41" t="s">
        <v>55</v>
      </c>
      <c r="D36" s="40">
        <v>591</v>
      </c>
      <c r="E36" s="40"/>
      <c r="F36" s="42">
        <v>45562</v>
      </c>
      <c r="G36" s="43">
        <v>4227297971</v>
      </c>
      <c r="H36" s="44">
        <v>12654</v>
      </c>
      <c r="I36" s="44">
        <v>12654</v>
      </c>
      <c r="J36" s="16">
        <f ca="1">TODAY()-F36</f>
        <v>432</v>
      </c>
      <c r="K36" s="16"/>
      <c r="L36" s="16"/>
      <c r="M36" s="16"/>
      <c r="N36" s="16"/>
      <c r="O36" s="16"/>
      <c r="P36" s="17"/>
      <c r="Q36" s="17"/>
      <c r="R36" s="39" t="s">
        <v>56</v>
      </c>
    </row>
    <row r="37" spans="2:18" x14ac:dyDescent="0.35">
      <c r="B37" s="26" t="s">
        <v>57</v>
      </c>
      <c r="C37" s="27"/>
      <c r="D37" s="27"/>
      <c r="E37" s="27"/>
      <c r="F37" s="28"/>
      <c r="G37" s="29"/>
      <c r="H37" s="30"/>
      <c r="I37" s="30">
        <f>SUBTOTAL(9,I36:I36)</f>
        <v>12654</v>
      </c>
      <c r="J37" s="31"/>
      <c r="K37" s="31"/>
      <c r="L37" s="31"/>
      <c r="M37" s="31"/>
      <c r="N37" s="31"/>
      <c r="O37" s="31"/>
      <c r="P37" s="32"/>
      <c r="Q37" s="32"/>
      <c r="R37" s="33"/>
    </row>
    <row r="38" spans="2:18" x14ac:dyDescent="0.35">
      <c r="B38" s="40">
        <v>190015361</v>
      </c>
      <c r="C38" s="41" t="s">
        <v>58</v>
      </c>
      <c r="D38" s="40">
        <v>591</v>
      </c>
      <c r="E38" s="40"/>
      <c r="F38" s="42">
        <v>45573</v>
      </c>
      <c r="G38" s="43">
        <v>4227299777</v>
      </c>
      <c r="H38" s="44">
        <v>14290</v>
      </c>
      <c r="I38" s="44">
        <v>14290</v>
      </c>
      <c r="J38" s="16">
        <f ca="1">TODAY()-F38</f>
        <v>421</v>
      </c>
      <c r="K38" s="16"/>
      <c r="L38" s="16"/>
      <c r="M38" s="16"/>
      <c r="N38" s="16"/>
      <c r="O38" s="16"/>
      <c r="P38" s="17"/>
      <c r="Q38" s="17"/>
      <c r="R38" s="39" t="s">
        <v>59</v>
      </c>
    </row>
    <row r="39" spans="2:18" x14ac:dyDescent="0.35">
      <c r="B39" s="26" t="s">
        <v>60</v>
      </c>
      <c r="C39" s="27"/>
      <c r="D39" s="27"/>
      <c r="E39" s="27"/>
      <c r="F39" s="28"/>
      <c r="G39" s="29"/>
      <c r="H39" s="30"/>
      <c r="I39" s="30">
        <f>SUBTOTAL(9,I38:I38)</f>
        <v>14290</v>
      </c>
      <c r="J39" s="31"/>
      <c r="K39" s="31"/>
      <c r="L39" s="31"/>
      <c r="M39" s="31"/>
      <c r="N39" s="31"/>
      <c r="O39" s="31"/>
      <c r="P39" s="32"/>
      <c r="Q39" s="32"/>
      <c r="R39" s="33"/>
    </row>
    <row r="40" spans="2:18" x14ac:dyDescent="0.35">
      <c r="B40" s="40">
        <v>190005703</v>
      </c>
      <c r="C40" s="41" t="s">
        <v>61</v>
      </c>
      <c r="D40" s="40">
        <v>591</v>
      </c>
      <c r="E40" s="40"/>
      <c r="F40" s="42">
        <v>45653</v>
      </c>
      <c r="G40" s="43">
        <v>4227311328</v>
      </c>
      <c r="H40" s="44">
        <v>14400</v>
      </c>
      <c r="I40" s="44">
        <v>0</v>
      </c>
      <c r="J40" s="16">
        <f ca="1">TODAY()-F40</f>
        <v>341</v>
      </c>
      <c r="K40" s="16"/>
      <c r="L40" s="16"/>
      <c r="M40" s="16"/>
      <c r="N40" s="16"/>
      <c r="O40" s="16"/>
      <c r="P40" s="17"/>
      <c r="Q40" s="17"/>
      <c r="R40" s="39"/>
    </row>
    <row r="41" spans="2:18" x14ac:dyDescent="0.35">
      <c r="B41" s="26" t="s">
        <v>62</v>
      </c>
      <c r="C41" s="27"/>
      <c r="D41" s="27"/>
      <c r="E41" s="27"/>
      <c r="F41" s="28"/>
      <c r="G41" s="29"/>
      <c r="H41" s="30"/>
      <c r="I41" s="30">
        <f>SUBTOTAL(9,I40:I40)</f>
        <v>0</v>
      </c>
      <c r="J41" s="31"/>
      <c r="K41" s="31"/>
      <c r="L41" s="31"/>
      <c r="M41" s="31"/>
      <c r="N41" s="31"/>
      <c r="O41" s="31"/>
      <c r="P41" s="32"/>
      <c r="Q41" s="32"/>
      <c r="R41" s="33"/>
    </row>
    <row r="42" spans="2:18" x14ac:dyDescent="0.35">
      <c r="B42" s="40">
        <v>190002413</v>
      </c>
      <c r="C42" s="41" t="s">
        <v>63</v>
      </c>
      <c r="D42" s="40">
        <v>591</v>
      </c>
      <c r="E42" s="40"/>
      <c r="F42" s="42">
        <v>45350</v>
      </c>
      <c r="G42" s="43">
        <v>4227272655</v>
      </c>
      <c r="H42" s="44">
        <v>34200</v>
      </c>
      <c r="I42" s="44">
        <v>4200</v>
      </c>
      <c r="J42" s="16">
        <f ca="1">TODAY()-F42</f>
        <v>644</v>
      </c>
      <c r="K42" s="16"/>
      <c r="L42" s="16"/>
      <c r="M42" s="16"/>
      <c r="N42" s="16"/>
      <c r="O42" s="16"/>
      <c r="P42" s="17"/>
      <c r="Q42" s="17"/>
      <c r="R42" s="39" t="s">
        <v>64</v>
      </c>
    </row>
    <row r="43" spans="2:18" x14ac:dyDescent="0.35">
      <c r="B43" s="26" t="s">
        <v>65</v>
      </c>
      <c r="C43" s="27"/>
      <c r="D43" s="27"/>
      <c r="E43" s="27"/>
      <c r="F43" s="28"/>
      <c r="G43" s="29"/>
      <c r="H43" s="30"/>
      <c r="I43" s="30">
        <f>SUBTOTAL(9,I42:I42)</f>
        <v>4200</v>
      </c>
      <c r="J43" s="31"/>
      <c r="K43" s="31"/>
      <c r="L43" s="31"/>
      <c r="M43" s="31"/>
      <c r="N43" s="31"/>
      <c r="O43" s="31"/>
      <c r="P43" s="32"/>
      <c r="Q43" s="32"/>
      <c r="R43" s="33"/>
    </row>
    <row r="44" spans="2:18" x14ac:dyDescent="0.35">
      <c r="B44" s="34">
        <v>190014097</v>
      </c>
      <c r="C44" s="35" t="s">
        <v>63</v>
      </c>
      <c r="D44" s="34">
        <v>591</v>
      </c>
      <c r="E44" s="34"/>
      <c r="F44" s="36">
        <v>45282</v>
      </c>
      <c r="G44" s="37">
        <v>214343</v>
      </c>
      <c r="H44" s="25">
        <v>-4135</v>
      </c>
      <c r="I44" s="25">
        <v>-4135</v>
      </c>
      <c r="J44" s="16">
        <f ca="1">TODAY()-F44</f>
        <v>712</v>
      </c>
      <c r="K44" s="16"/>
      <c r="L44" s="16"/>
      <c r="M44" s="16"/>
      <c r="N44" s="16"/>
      <c r="O44" s="16"/>
      <c r="P44" s="17"/>
      <c r="Q44" s="17"/>
      <c r="R44" s="39"/>
    </row>
    <row r="45" spans="2:18" x14ac:dyDescent="0.35">
      <c r="B45" s="20">
        <v>190014097</v>
      </c>
      <c r="C45" s="21" t="s">
        <v>63</v>
      </c>
      <c r="D45" s="20">
        <v>591</v>
      </c>
      <c r="E45" s="20"/>
      <c r="F45" s="22">
        <v>45569</v>
      </c>
      <c r="G45" s="23">
        <v>4227299465</v>
      </c>
      <c r="H45" s="19">
        <v>32285</v>
      </c>
      <c r="I45" s="19">
        <v>32285</v>
      </c>
      <c r="J45" s="16">
        <f ca="1">TODAY()-F45</f>
        <v>425</v>
      </c>
      <c r="K45" s="16"/>
      <c r="L45" s="16"/>
      <c r="M45" s="16"/>
      <c r="N45" s="16"/>
      <c r="O45" s="16"/>
      <c r="P45" s="17">
        <f>I45</f>
        <v>32285</v>
      </c>
      <c r="Q45" s="17"/>
      <c r="R45" s="38" t="s">
        <v>66</v>
      </c>
    </row>
    <row r="46" spans="2:18" x14ac:dyDescent="0.35">
      <c r="B46" s="26" t="s">
        <v>67</v>
      </c>
      <c r="C46" s="27"/>
      <c r="D46" s="27"/>
      <c r="E46" s="27"/>
      <c r="F46" s="28"/>
      <c r="G46" s="29"/>
      <c r="H46" s="30"/>
      <c r="I46" s="30">
        <f>SUBTOTAL(9,I44:I45)</f>
        <v>28150</v>
      </c>
      <c r="J46" s="48"/>
      <c r="K46" s="48"/>
      <c r="L46" s="48"/>
      <c r="M46" s="48"/>
      <c r="N46" s="48"/>
      <c r="O46" s="48"/>
      <c r="P46" s="17"/>
      <c r="Q46" s="17"/>
      <c r="R46" s="39"/>
    </row>
    <row r="47" spans="2:18" x14ac:dyDescent="0.35">
      <c r="B47" s="40">
        <v>190015702</v>
      </c>
      <c r="C47" s="41" t="s">
        <v>68</v>
      </c>
      <c r="D47" s="40">
        <v>591</v>
      </c>
      <c r="E47" s="40"/>
      <c r="F47" s="42">
        <v>45589</v>
      </c>
      <c r="G47" s="43">
        <v>4227301982</v>
      </c>
      <c r="H47" s="44">
        <v>5809</v>
      </c>
      <c r="I47" s="45">
        <v>3809</v>
      </c>
      <c r="J47" s="16">
        <f ca="1">TODAY()-F47</f>
        <v>405</v>
      </c>
      <c r="K47" s="16"/>
      <c r="L47" s="16"/>
      <c r="M47" s="16"/>
      <c r="N47" s="16"/>
      <c r="O47" s="16"/>
      <c r="P47" s="17"/>
      <c r="Q47" s="17"/>
      <c r="R47" s="39" t="s">
        <v>69</v>
      </c>
    </row>
    <row r="48" spans="2:18" x14ac:dyDescent="0.35">
      <c r="B48" s="26" t="s">
        <v>70</v>
      </c>
      <c r="C48" s="27"/>
      <c r="D48" s="27"/>
      <c r="E48" s="27"/>
      <c r="F48" s="28"/>
      <c r="G48" s="29"/>
      <c r="H48" s="30"/>
      <c r="I48" s="30">
        <f>SUBTOTAL(9,I47:I47)</f>
        <v>3809</v>
      </c>
      <c r="J48" s="48"/>
      <c r="K48" s="48"/>
      <c r="L48" s="48"/>
      <c r="M48" s="48"/>
      <c r="N48" s="48"/>
      <c r="O48" s="48"/>
      <c r="P48" s="17"/>
      <c r="Q48" s="17"/>
      <c r="R48" s="39"/>
    </row>
    <row r="49" spans="2:18" x14ac:dyDescent="0.35">
      <c r="B49" s="34">
        <v>190004932</v>
      </c>
      <c r="C49" s="35" t="s">
        <v>71</v>
      </c>
      <c r="D49" s="34">
        <v>591</v>
      </c>
      <c r="E49" s="34"/>
      <c r="F49" s="36">
        <v>45595</v>
      </c>
      <c r="G49" s="37">
        <v>4227303113</v>
      </c>
      <c r="H49" s="25">
        <v>29556</v>
      </c>
      <c r="I49" s="25">
        <v>29556</v>
      </c>
      <c r="J49" s="16">
        <f ca="1">TODAY()-F49</f>
        <v>399</v>
      </c>
      <c r="K49" s="16"/>
      <c r="L49" s="16"/>
      <c r="M49" s="16"/>
      <c r="N49" s="16"/>
      <c r="O49" s="16"/>
      <c r="P49" s="17"/>
      <c r="Q49" s="17"/>
      <c r="R49" s="39" t="s">
        <v>72</v>
      </c>
    </row>
    <row r="50" spans="2:18" x14ac:dyDescent="0.35">
      <c r="B50" s="20">
        <v>190004932</v>
      </c>
      <c r="C50" s="21" t="s">
        <v>71</v>
      </c>
      <c r="D50" s="20">
        <v>591</v>
      </c>
      <c r="E50" s="20"/>
      <c r="F50" s="22">
        <v>45595</v>
      </c>
      <c r="G50" s="23">
        <v>4227303190</v>
      </c>
      <c r="H50" s="19">
        <v>11800</v>
      </c>
      <c r="I50" s="19">
        <v>11800</v>
      </c>
      <c r="J50" s="16">
        <f ca="1">TODAY()-F50</f>
        <v>399</v>
      </c>
      <c r="K50" s="16"/>
      <c r="L50" s="16"/>
      <c r="M50" s="16"/>
      <c r="N50" s="16"/>
      <c r="O50" s="16"/>
      <c r="P50" s="17"/>
      <c r="Q50" s="17"/>
      <c r="R50" s="39"/>
    </row>
    <row r="51" spans="2:18" x14ac:dyDescent="0.35">
      <c r="B51" s="26" t="s">
        <v>73</v>
      </c>
      <c r="C51" s="27"/>
      <c r="D51" s="27"/>
      <c r="E51" s="27"/>
      <c r="F51" s="28"/>
      <c r="G51" s="29"/>
      <c r="H51" s="30"/>
      <c r="I51" s="30">
        <f>SUBTOTAL(9,I49:I50)</f>
        <v>41356</v>
      </c>
      <c r="J51" s="48"/>
      <c r="K51" s="48"/>
      <c r="L51" s="48"/>
      <c r="M51" s="48"/>
      <c r="N51" s="48"/>
      <c r="O51" s="48"/>
      <c r="P51" s="17"/>
      <c r="Q51" s="17"/>
      <c r="R51" s="39"/>
    </row>
    <row r="52" spans="2:18" x14ac:dyDescent="0.35">
      <c r="B52" s="34">
        <v>190001551</v>
      </c>
      <c r="C52" s="35" t="s">
        <v>74</v>
      </c>
      <c r="D52" s="34">
        <v>591</v>
      </c>
      <c r="E52" s="34"/>
      <c r="F52" s="36">
        <v>45565</v>
      </c>
      <c r="G52" s="37">
        <v>4227298754</v>
      </c>
      <c r="H52" s="25">
        <v>10705</v>
      </c>
      <c r="I52" s="25">
        <v>10705</v>
      </c>
      <c r="J52" s="16">
        <f ca="1">TODAY()-F52</f>
        <v>429</v>
      </c>
      <c r="K52" s="16"/>
      <c r="L52" s="16"/>
      <c r="M52" s="16"/>
      <c r="N52" s="16"/>
      <c r="O52" s="16"/>
      <c r="P52" s="17"/>
      <c r="Q52" s="17"/>
      <c r="R52" s="39" t="s">
        <v>75</v>
      </c>
    </row>
    <row r="53" spans="2:18" x14ac:dyDescent="0.35">
      <c r="B53" s="20">
        <v>190001551</v>
      </c>
      <c r="C53" s="21" t="s">
        <v>74</v>
      </c>
      <c r="D53" s="20">
        <v>591</v>
      </c>
      <c r="E53" s="20"/>
      <c r="F53" s="22">
        <v>45595</v>
      </c>
      <c r="G53" s="23">
        <v>4227303088</v>
      </c>
      <c r="H53" s="19">
        <v>2950</v>
      </c>
      <c r="I53" s="19">
        <v>2950</v>
      </c>
      <c r="J53" s="16">
        <f ca="1">TODAY()-F53</f>
        <v>399</v>
      </c>
      <c r="K53" s="16"/>
      <c r="L53" s="16"/>
      <c r="M53" s="16"/>
      <c r="N53" s="16"/>
      <c r="O53" s="16"/>
      <c r="P53" s="17"/>
      <c r="Q53" s="17"/>
      <c r="R53" s="39"/>
    </row>
    <row r="54" spans="2:18" x14ac:dyDescent="0.35">
      <c r="B54" s="26" t="s">
        <v>76</v>
      </c>
      <c r="C54" s="27"/>
      <c r="D54" s="27"/>
      <c r="E54" s="27"/>
      <c r="F54" s="28"/>
      <c r="G54" s="29"/>
      <c r="H54" s="30"/>
      <c r="I54" s="30">
        <f>SUBTOTAL(9,I52:I53)</f>
        <v>13655</v>
      </c>
      <c r="J54" s="48"/>
      <c r="K54" s="48"/>
      <c r="L54" s="48"/>
      <c r="M54" s="48"/>
      <c r="N54" s="48"/>
      <c r="O54" s="48"/>
      <c r="P54" s="17"/>
      <c r="Q54" s="17"/>
      <c r="R54" s="39"/>
    </row>
    <row r="55" spans="2:18" x14ac:dyDescent="0.35">
      <c r="B55" s="40">
        <v>190014917</v>
      </c>
      <c r="C55" s="41" t="s">
        <v>77</v>
      </c>
      <c r="D55" s="40">
        <v>591</v>
      </c>
      <c r="E55" s="40"/>
      <c r="F55" s="42">
        <v>45555</v>
      </c>
      <c r="G55" s="43">
        <v>4227296946</v>
      </c>
      <c r="H55" s="44">
        <v>14400</v>
      </c>
      <c r="I55" s="44">
        <v>2800</v>
      </c>
      <c r="J55" s="16">
        <f ca="1">TODAY()-F55</f>
        <v>439</v>
      </c>
      <c r="K55" s="16"/>
      <c r="L55" s="16"/>
      <c r="M55" s="16"/>
      <c r="N55" s="16"/>
      <c r="O55" s="16"/>
      <c r="P55" s="17"/>
      <c r="Q55" s="17"/>
      <c r="R55" s="38" t="s">
        <v>78</v>
      </c>
    </row>
    <row r="56" spans="2:18" x14ac:dyDescent="0.35">
      <c r="B56" s="26" t="s">
        <v>79</v>
      </c>
      <c r="C56" s="27"/>
      <c r="D56" s="27"/>
      <c r="E56" s="27"/>
      <c r="F56" s="28"/>
      <c r="G56" s="29"/>
      <c r="H56" s="30"/>
      <c r="I56" s="30">
        <f>SUBTOTAL(9,I55:I55)</f>
        <v>2800</v>
      </c>
      <c r="J56" s="48"/>
      <c r="K56" s="48"/>
      <c r="L56" s="48"/>
      <c r="M56" s="48"/>
      <c r="N56" s="48"/>
      <c r="O56" s="48"/>
      <c r="P56" s="17"/>
      <c r="Q56" s="17"/>
      <c r="R56" s="39"/>
    </row>
    <row r="57" spans="2:18" x14ac:dyDescent="0.35">
      <c r="B57" s="40">
        <v>190013554</v>
      </c>
      <c r="C57" s="41" t="s">
        <v>80</v>
      </c>
      <c r="D57" s="40">
        <v>591</v>
      </c>
      <c r="E57" s="40"/>
      <c r="F57" s="42">
        <v>45565</v>
      </c>
      <c r="G57" s="43">
        <v>4227298351</v>
      </c>
      <c r="H57" s="44">
        <v>9540</v>
      </c>
      <c r="I57" s="45">
        <v>9540</v>
      </c>
      <c r="J57" s="16">
        <f ca="1">TODAY()-F57</f>
        <v>429</v>
      </c>
      <c r="K57" s="16"/>
      <c r="L57" s="16"/>
      <c r="M57" s="16"/>
      <c r="N57" s="16"/>
      <c r="O57" s="16"/>
      <c r="P57" s="17"/>
      <c r="Q57" s="17"/>
      <c r="R57" s="39" t="s">
        <v>81</v>
      </c>
    </row>
    <row r="58" spans="2:18" x14ac:dyDescent="0.35">
      <c r="B58" s="26" t="s">
        <v>82</v>
      </c>
      <c r="C58" s="27"/>
      <c r="D58" s="27"/>
      <c r="E58" s="27"/>
      <c r="F58" s="28"/>
      <c r="G58" s="29"/>
      <c r="H58" s="30"/>
      <c r="I58" s="30">
        <f>SUBTOTAL(9,I57:I57)</f>
        <v>9540</v>
      </c>
      <c r="J58" s="48"/>
      <c r="K58" s="48"/>
      <c r="L58" s="48"/>
      <c r="M58" s="48"/>
      <c r="N58" s="48"/>
      <c r="O58" s="48"/>
      <c r="P58" s="17"/>
      <c r="Q58" s="17"/>
      <c r="R58" s="39"/>
    </row>
    <row r="59" spans="2:18" x14ac:dyDescent="0.35">
      <c r="B59" s="40">
        <v>190006214</v>
      </c>
      <c r="C59" s="41" t="s">
        <v>83</v>
      </c>
      <c r="D59" s="40">
        <v>591</v>
      </c>
      <c r="E59" s="40"/>
      <c r="F59" s="42">
        <v>45504</v>
      </c>
      <c r="G59" s="43">
        <v>4227290522</v>
      </c>
      <c r="H59" s="44">
        <v>124311</v>
      </c>
      <c r="I59" s="44">
        <v>25000</v>
      </c>
      <c r="J59" s="16">
        <f ca="1">TODAY()-F59</f>
        <v>490</v>
      </c>
      <c r="K59" s="16"/>
      <c r="L59" s="16"/>
      <c r="M59" s="16"/>
      <c r="N59" s="16"/>
      <c r="O59" s="16"/>
      <c r="P59" s="17">
        <v>10000</v>
      </c>
      <c r="Q59" s="17"/>
      <c r="R59" s="39"/>
    </row>
    <row r="60" spans="2:18" x14ac:dyDescent="0.35">
      <c r="B60" s="26" t="s">
        <v>84</v>
      </c>
      <c r="C60" s="27"/>
      <c r="D60" s="27"/>
      <c r="E60" s="27"/>
      <c r="F60" s="28"/>
      <c r="G60" s="29"/>
      <c r="H60" s="30"/>
      <c r="I60" s="30">
        <f>SUBTOTAL(9,I59:I59)</f>
        <v>25000</v>
      </c>
      <c r="J60" s="48"/>
      <c r="K60" s="48"/>
      <c r="L60" s="48"/>
      <c r="M60" s="48"/>
      <c r="N60" s="48"/>
      <c r="O60" s="48"/>
      <c r="P60" s="17"/>
      <c r="Q60" s="17"/>
      <c r="R60" s="39"/>
    </row>
    <row r="61" spans="2:18" x14ac:dyDescent="0.35">
      <c r="B61" s="40">
        <v>190009701</v>
      </c>
      <c r="C61" s="41" t="s">
        <v>83</v>
      </c>
      <c r="D61" s="40">
        <v>591</v>
      </c>
      <c r="E61" s="40"/>
      <c r="F61" s="42">
        <v>45169</v>
      </c>
      <c r="G61" s="43">
        <v>4227252546</v>
      </c>
      <c r="H61" s="44">
        <v>77280</v>
      </c>
      <c r="I61" s="44">
        <v>0</v>
      </c>
      <c r="J61" s="16">
        <f ca="1">TODAY()-F61</f>
        <v>825</v>
      </c>
      <c r="K61" s="16"/>
      <c r="L61" s="16"/>
      <c r="M61" s="16"/>
      <c r="N61" s="16"/>
      <c r="O61" s="16"/>
      <c r="P61" s="17"/>
      <c r="Q61" s="17"/>
      <c r="R61" s="39"/>
    </row>
    <row r="62" spans="2:18" x14ac:dyDescent="0.35">
      <c r="B62" s="26" t="s">
        <v>85</v>
      </c>
      <c r="C62" s="27"/>
      <c r="D62" s="27"/>
      <c r="E62" s="27"/>
      <c r="F62" s="28"/>
      <c r="G62" s="29"/>
      <c r="H62" s="30"/>
      <c r="I62" s="30">
        <f>SUBTOTAL(9,I61:I61)</f>
        <v>0</v>
      </c>
      <c r="J62" s="48"/>
      <c r="K62" s="48"/>
      <c r="L62" s="48"/>
      <c r="M62" s="48"/>
      <c r="N62" s="48"/>
      <c r="O62" s="48"/>
      <c r="P62" s="17"/>
      <c r="Q62" s="17"/>
      <c r="R62" s="39"/>
    </row>
    <row r="63" spans="2:18" x14ac:dyDescent="0.35">
      <c r="B63" s="34">
        <v>190006941</v>
      </c>
      <c r="C63" s="35" t="s">
        <v>86</v>
      </c>
      <c r="D63" s="34">
        <v>591</v>
      </c>
      <c r="E63" s="34"/>
      <c r="F63" s="36">
        <v>45596</v>
      </c>
      <c r="G63" s="37">
        <v>4227304081</v>
      </c>
      <c r="H63" s="25">
        <v>35400</v>
      </c>
      <c r="I63" s="49">
        <v>11000</v>
      </c>
      <c r="J63" s="16">
        <f ca="1">TODAY()-F63</f>
        <v>398</v>
      </c>
      <c r="K63" s="16"/>
      <c r="L63" s="16"/>
      <c r="M63" s="16"/>
      <c r="N63" s="16"/>
      <c r="O63" s="16"/>
      <c r="P63" s="17"/>
      <c r="Q63" s="17"/>
      <c r="R63" s="39" t="s">
        <v>87</v>
      </c>
    </row>
    <row r="64" spans="2:18" x14ac:dyDescent="0.35">
      <c r="B64" s="20">
        <v>190006941</v>
      </c>
      <c r="C64" s="21" t="s">
        <v>86</v>
      </c>
      <c r="D64" s="20">
        <v>591</v>
      </c>
      <c r="E64" s="20"/>
      <c r="F64" s="22">
        <v>45596</v>
      </c>
      <c r="G64" s="23">
        <v>4227304094</v>
      </c>
      <c r="H64" s="19">
        <v>35400</v>
      </c>
      <c r="I64" s="24">
        <v>35400</v>
      </c>
      <c r="J64" s="16">
        <f ca="1">TODAY()-F64</f>
        <v>398</v>
      </c>
      <c r="K64" s="16"/>
      <c r="L64" s="16"/>
      <c r="M64" s="16"/>
      <c r="N64" s="16"/>
      <c r="O64" s="16"/>
      <c r="P64" s="17"/>
      <c r="Q64" s="17"/>
      <c r="R64" s="39" t="s">
        <v>88</v>
      </c>
    </row>
    <row r="65" spans="2:18" x14ac:dyDescent="0.35">
      <c r="B65" s="26" t="s">
        <v>89</v>
      </c>
      <c r="C65" s="27"/>
      <c r="D65" s="27"/>
      <c r="E65" s="27"/>
      <c r="F65" s="28"/>
      <c r="G65" s="29"/>
      <c r="H65" s="30"/>
      <c r="I65" s="30">
        <f>SUBTOTAL(9,I63:I64)</f>
        <v>46400</v>
      </c>
      <c r="J65" s="48"/>
      <c r="K65" s="48"/>
      <c r="L65" s="48"/>
      <c r="M65" s="48"/>
      <c r="N65" s="48"/>
      <c r="O65" s="48"/>
      <c r="P65" s="17"/>
      <c r="Q65" s="17"/>
      <c r="R65" s="39"/>
    </row>
    <row r="66" spans="2:18" x14ac:dyDescent="0.35">
      <c r="B66" s="40">
        <v>190008463</v>
      </c>
      <c r="C66" s="41" t="s">
        <v>90</v>
      </c>
      <c r="D66" s="40">
        <v>591</v>
      </c>
      <c r="E66" s="40"/>
      <c r="F66" s="42">
        <v>45555</v>
      </c>
      <c r="G66" s="43">
        <v>4227296931</v>
      </c>
      <c r="H66" s="44">
        <v>15930</v>
      </c>
      <c r="I66" s="44">
        <v>5000</v>
      </c>
      <c r="J66" s="16">
        <f ca="1">TODAY()-F66</f>
        <v>439</v>
      </c>
      <c r="K66" s="16"/>
      <c r="L66" s="16"/>
      <c r="M66" s="16"/>
      <c r="N66" s="16"/>
      <c r="O66" s="16"/>
      <c r="P66" s="17"/>
      <c r="Q66" s="17"/>
      <c r="R66" s="39"/>
    </row>
    <row r="67" spans="2:18" x14ac:dyDescent="0.35">
      <c r="B67" s="26" t="s">
        <v>91</v>
      </c>
      <c r="C67" s="27"/>
      <c r="D67" s="27"/>
      <c r="E67" s="27"/>
      <c r="F67" s="28"/>
      <c r="G67" s="29"/>
      <c r="H67" s="30"/>
      <c r="I67" s="30">
        <f>SUBTOTAL(9,I66:I66)</f>
        <v>5000</v>
      </c>
      <c r="J67" s="48"/>
      <c r="K67" s="48"/>
      <c r="L67" s="48"/>
      <c r="M67" s="48"/>
      <c r="N67" s="48"/>
      <c r="O67" s="48"/>
      <c r="P67" s="17"/>
      <c r="Q67" s="17"/>
      <c r="R67" s="39"/>
    </row>
    <row r="68" spans="2:18" x14ac:dyDescent="0.35">
      <c r="B68" s="40">
        <v>190015337</v>
      </c>
      <c r="C68" s="41" t="s">
        <v>92</v>
      </c>
      <c r="D68" s="40">
        <v>591</v>
      </c>
      <c r="E68" s="40"/>
      <c r="F68" s="42">
        <v>45579</v>
      </c>
      <c r="G68" s="43">
        <v>4227300530</v>
      </c>
      <c r="H68" s="44">
        <v>24721</v>
      </c>
      <c r="I68" s="44">
        <v>24721</v>
      </c>
      <c r="J68" s="16">
        <f ca="1">TODAY()-F68</f>
        <v>415</v>
      </c>
      <c r="K68" s="16"/>
      <c r="L68" s="16"/>
      <c r="M68" s="16"/>
      <c r="N68" s="16"/>
      <c r="O68" s="16"/>
      <c r="P68" s="17"/>
      <c r="Q68" s="17"/>
      <c r="R68" s="39" t="s">
        <v>93</v>
      </c>
    </row>
    <row r="69" spans="2:18" x14ac:dyDescent="0.35">
      <c r="B69" s="26" t="s">
        <v>94</v>
      </c>
      <c r="C69" s="27"/>
      <c r="D69" s="27"/>
      <c r="E69" s="27"/>
      <c r="F69" s="28"/>
      <c r="G69" s="29"/>
      <c r="H69" s="30"/>
      <c r="I69" s="30">
        <f>SUBTOTAL(9,I68:I68)</f>
        <v>24721</v>
      </c>
      <c r="J69" s="48"/>
      <c r="K69" s="48"/>
      <c r="L69" s="48"/>
      <c r="M69" s="48"/>
      <c r="N69" s="48"/>
      <c r="O69" s="48"/>
      <c r="P69" s="17"/>
      <c r="Q69" s="17"/>
      <c r="R69" s="39"/>
    </row>
    <row r="70" spans="2:18" x14ac:dyDescent="0.35">
      <c r="B70" s="40">
        <v>190007999</v>
      </c>
      <c r="C70" s="41" t="s">
        <v>95</v>
      </c>
      <c r="D70" s="40">
        <v>591</v>
      </c>
      <c r="E70" s="40"/>
      <c r="F70" s="42">
        <v>45533</v>
      </c>
      <c r="G70" s="43">
        <v>4227294233</v>
      </c>
      <c r="H70" s="44">
        <v>14455</v>
      </c>
      <c r="I70" s="44">
        <v>295</v>
      </c>
      <c r="J70" s="16">
        <f ca="1">TODAY()-F70</f>
        <v>461</v>
      </c>
      <c r="K70" s="16"/>
      <c r="L70" s="16"/>
      <c r="M70" s="16"/>
      <c r="N70" s="16"/>
      <c r="O70" s="16"/>
      <c r="P70" s="17"/>
      <c r="Q70" s="17"/>
      <c r="R70" s="38" t="s">
        <v>96</v>
      </c>
    </row>
    <row r="71" spans="2:18" x14ac:dyDescent="0.35">
      <c r="B71" s="26" t="s">
        <v>97</v>
      </c>
      <c r="C71" s="27"/>
      <c r="D71" s="27"/>
      <c r="E71" s="27"/>
      <c r="F71" s="28"/>
      <c r="G71" s="29"/>
      <c r="H71" s="30"/>
      <c r="I71" s="30">
        <f>SUBTOTAL(9,I70:I70)</f>
        <v>295</v>
      </c>
      <c r="J71" s="48"/>
      <c r="K71" s="48"/>
      <c r="L71" s="48"/>
      <c r="M71" s="48"/>
      <c r="N71" s="48"/>
      <c r="O71" s="48"/>
      <c r="P71" s="17"/>
      <c r="Q71" s="17"/>
      <c r="R71" s="39"/>
    </row>
    <row r="72" spans="2:18" x14ac:dyDescent="0.35">
      <c r="B72" s="40">
        <v>190014663</v>
      </c>
      <c r="C72" s="41" t="s">
        <v>98</v>
      </c>
      <c r="D72" s="40">
        <v>591</v>
      </c>
      <c r="E72" s="40"/>
      <c r="F72" s="42">
        <v>45495</v>
      </c>
      <c r="G72" s="43">
        <v>4227288247</v>
      </c>
      <c r="H72" s="44">
        <v>5000</v>
      </c>
      <c r="I72" s="44">
        <v>0</v>
      </c>
      <c r="J72" s="16">
        <f ca="1">TODAY()-F72</f>
        <v>499</v>
      </c>
      <c r="K72" s="16"/>
      <c r="L72" s="16"/>
      <c r="M72" s="16"/>
      <c r="N72" s="16"/>
      <c r="O72" s="16"/>
      <c r="P72" s="17"/>
      <c r="Q72" s="17"/>
      <c r="R72" s="39"/>
    </row>
    <row r="73" spans="2:18" x14ac:dyDescent="0.35">
      <c r="B73" s="26" t="s">
        <v>99</v>
      </c>
      <c r="C73" s="27"/>
      <c r="D73" s="27"/>
      <c r="E73" s="27"/>
      <c r="F73" s="28"/>
      <c r="G73" s="29"/>
      <c r="H73" s="30"/>
      <c r="I73" s="30">
        <f>SUBTOTAL(9,I72:I72)</f>
        <v>0</v>
      </c>
      <c r="J73" s="48"/>
      <c r="K73" s="48"/>
      <c r="L73" s="48"/>
      <c r="M73" s="48"/>
      <c r="N73" s="48"/>
      <c r="O73" s="48"/>
      <c r="P73" s="17"/>
      <c r="Q73" s="17"/>
      <c r="R73" s="39"/>
    </row>
    <row r="74" spans="2:18" x14ac:dyDescent="0.35">
      <c r="B74" s="40">
        <v>190014639</v>
      </c>
      <c r="C74" s="41" t="s">
        <v>100</v>
      </c>
      <c r="D74" s="40">
        <v>591</v>
      </c>
      <c r="E74" s="40"/>
      <c r="F74" s="42">
        <v>45617</v>
      </c>
      <c r="G74" s="43">
        <v>4227306497</v>
      </c>
      <c r="H74" s="44">
        <v>2099</v>
      </c>
      <c r="I74" s="44">
        <v>2099</v>
      </c>
      <c r="J74" s="16">
        <f ca="1">TODAY()-F74</f>
        <v>377</v>
      </c>
      <c r="K74" s="16"/>
      <c r="L74" s="16"/>
      <c r="M74" s="16"/>
      <c r="N74" s="16"/>
      <c r="O74" s="16"/>
      <c r="P74" s="17">
        <f>I74</f>
        <v>2099</v>
      </c>
      <c r="Q74" s="17"/>
      <c r="R74" s="39"/>
    </row>
    <row r="75" spans="2:18" x14ac:dyDescent="0.35">
      <c r="B75" s="26" t="s">
        <v>101</v>
      </c>
      <c r="C75" s="27"/>
      <c r="D75" s="27"/>
      <c r="E75" s="27"/>
      <c r="F75" s="28"/>
      <c r="G75" s="29"/>
      <c r="H75" s="30"/>
      <c r="I75" s="30">
        <f>SUBTOTAL(9,I74:I74)</f>
        <v>2099</v>
      </c>
      <c r="J75" s="48"/>
      <c r="K75" s="48"/>
      <c r="L75" s="48"/>
      <c r="M75" s="48"/>
      <c r="N75" s="48"/>
      <c r="O75" s="48"/>
      <c r="P75" s="17"/>
      <c r="Q75" s="17"/>
      <c r="R75" s="39"/>
    </row>
    <row r="76" spans="2:18" x14ac:dyDescent="0.35">
      <c r="B76" s="40">
        <v>190009895</v>
      </c>
      <c r="C76" s="41" t="s">
        <v>102</v>
      </c>
      <c r="D76" s="40">
        <v>591</v>
      </c>
      <c r="E76" s="40"/>
      <c r="F76" s="42">
        <v>45504</v>
      </c>
      <c r="G76" s="43">
        <v>4227290260</v>
      </c>
      <c r="H76" s="44">
        <v>13971</v>
      </c>
      <c r="I76" s="44">
        <v>13971</v>
      </c>
      <c r="J76" s="16">
        <f ca="1">TODAY()-F76</f>
        <v>490</v>
      </c>
      <c r="K76" s="16"/>
      <c r="L76" s="16"/>
      <c r="M76" s="16"/>
      <c r="N76" s="16"/>
      <c r="O76" s="16"/>
      <c r="P76" s="17">
        <f>I76</f>
        <v>13971</v>
      </c>
      <c r="Q76" s="17"/>
      <c r="R76" s="39"/>
    </row>
    <row r="77" spans="2:18" x14ac:dyDescent="0.35">
      <c r="B77" s="26" t="s">
        <v>103</v>
      </c>
      <c r="C77" s="27"/>
      <c r="D77" s="27"/>
      <c r="E77" s="27"/>
      <c r="F77" s="28"/>
      <c r="G77" s="29"/>
      <c r="H77" s="30"/>
      <c r="I77" s="30">
        <f>SUBTOTAL(9,I76:I76)</f>
        <v>13971</v>
      </c>
      <c r="J77" s="48"/>
      <c r="K77" s="48"/>
      <c r="L77" s="48"/>
      <c r="M77" s="48"/>
      <c r="N77" s="48"/>
      <c r="O77" s="48"/>
      <c r="P77" s="17"/>
      <c r="Q77" s="17"/>
      <c r="R77" s="39"/>
    </row>
    <row r="78" spans="2:18" x14ac:dyDescent="0.35">
      <c r="B78" s="40">
        <v>190015757</v>
      </c>
      <c r="C78" s="41" t="s">
        <v>104</v>
      </c>
      <c r="D78" s="40">
        <v>591</v>
      </c>
      <c r="E78" s="40"/>
      <c r="F78" s="42">
        <v>45596</v>
      </c>
      <c r="G78" s="43">
        <v>4227303958</v>
      </c>
      <c r="H78" s="44">
        <v>5685</v>
      </c>
      <c r="I78" s="44">
        <v>0</v>
      </c>
      <c r="J78" s="16">
        <f ca="1">TODAY()-F78</f>
        <v>398</v>
      </c>
      <c r="K78" s="16"/>
      <c r="L78" s="16"/>
      <c r="M78" s="16"/>
      <c r="N78" s="16"/>
      <c r="O78" s="16"/>
      <c r="P78" s="17"/>
      <c r="Q78" s="17"/>
      <c r="R78" s="39"/>
    </row>
    <row r="79" spans="2:18" x14ac:dyDescent="0.35">
      <c r="B79" s="26" t="s">
        <v>105</v>
      </c>
      <c r="C79" s="27"/>
      <c r="D79" s="27"/>
      <c r="E79" s="27"/>
      <c r="F79" s="28"/>
      <c r="G79" s="29"/>
      <c r="H79" s="30"/>
      <c r="I79" s="30">
        <f>SUBTOTAL(9,I78:I78)</f>
        <v>0</v>
      </c>
      <c r="J79" s="48"/>
      <c r="K79" s="48"/>
      <c r="L79" s="48"/>
      <c r="M79" s="48"/>
      <c r="N79" s="48"/>
      <c r="O79" s="48"/>
      <c r="P79" s="17"/>
      <c r="Q79" s="17"/>
      <c r="R79" s="39"/>
    </row>
    <row r="80" spans="2:18" x14ac:dyDescent="0.35">
      <c r="B80" s="40">
        <v>190014094</v>
      </c>
      <c r="C80" s="41" t="s">
        <v>106</v>
      </c>
      <c r="D80" s="40">
        <v>591</v>
      </c>
      <c r="E80" s="40"/>
      <c r="F80" s="42">
        <v>45565</v>
      </c>
      <c r="G80" s="43">
        <v>4227298244</v>
      </c>
      <c r="H80" s="44">
        <v>4177</v>
      </c>
      <c r="I80" s="44">
        <v>4177</v>
      </c>
      <c r="J80" s="16">
        <f ca="1">TODAY()-F80</f>
        <v>429</v>
      </c>
      <c r="K80" s="16"/>
      <c r="L80" s="16"/>
      <c r="M80" s="16"/>
      <c r="N80" s="16"/>
      <c r="O80" s="16"/>
      <c r="P80" s="17">
        <f>I80</f>
        <v>4177</v>
      </c>
      <c r="Q80" s="17"/>
      <c r="R80" s="38"/>
    </row>
    <row r="81" spans="2:18" x14ac:dyDescent="0.35">
      <c r="B81" s="26" t="s">
        <v>107</v>
      </c>
      <c r="C81" s="27"/>
      <c r="D81" s="27"/>
      <c r="E81" s="27"/>
      <c r="F81" s="28"/>
      <c r="G81" s="29"/>
      <c r="H81" s="30"/>
      <c r="I81" s="30">
        <f>SUBTOTAL(9,I80:I80)</f>
        <v>4177</v>
      </c>
      <c r="J81" s="48"/>
      <c r="K81" s="48"/>
      <c r="L81" s="48"/>
      <c r="M81" s="48"/>
      <c r="N81" s="48"/>
      <c r="O81" s="48"/>
      <c r="P81" s="17"/>
      <c r="Q81" s="17"/>
      <c r="R81" s="39"/>
    </row>
    <row r="82" spans="2:18" x14ac:dyDescent="0.35">
      <c r="B82" s="34">
        <v>190011841</v>
      </c>
      <c r="C82" s="35" t="s">
        <v>108</v>
      </c>
      <c r="D82" s="34">
        <v>591</v>
      </c>
      <c r="E82" s="34"/>
      <c r="F82" s="36">
        <v>45534</v>
      </c>
      <c r="G82" s="37">
        <v>4227294516</v>
      </c>
      <c r="H82" s="25">
        <v>21523</v>
      </c>
      <c r="I82" s="25">
        <v>1523</v>
      </c>
      <c r="J82" s="16">
        <f ca="1">TODAY()-F82</f>
        <v>460</v>
      </c>
      <c r="K82" s="16"/>
      <c r="L82" s="16"/>
      <c r="M82" s="16"/>
      <c r="N82" s="16"/>
      <c r="O82" s="16"/>
      <c r="P82" s="17"/>
      <c r="Q82" s="17"/>
      <c r="R82" s="39"/>
    </row>
    <row r="83" spans="2:18" x14ac:dyDescent="0.35">
      <c r="B83" s="13">
        <v>190011841</v>
      </c>
      <c r="C83" s="14" t="s">
        <v>108</v>
      </c>
      <c r="D83" s="13">
        <v>591</v>
      </c>
      <c r="E83" s="13"/>
      <c r="F83" s="15">
        <v>45561</v>
      </c>
      <c r="G83" s="16">
        <v>4227297792</v>
      </c>
      <c r="H83" s="17">
        <v>21523</v>
      </c>
      <c r="I83" s="17">
        <v>5673</v>
      </c>
      <c r="J83" s="16">
        <f ca="1">TODAY()-F83</f>
        <v>433</v>
      </c>
      <c r="K83" s="16"/>
      <c r="L83" s="16"/>
      <c r="M83" s="16"/>
      <c r="N83" s="16"/>
      <c r="O83" s="16"/>
      <c r="P83" s="17"/>
      <c r="Q83" s="17"/>
      <c r="R83" s="39"/>
    </row>
    <row r="84" spans="2:18" x14ac:dyDescent="0.35">
      <c r="B84" s="13">
        <v>190011841</v>
      </c>
      <c r="C84" s="14" t="s">
        <v>108</v>
      </c>
      <c r="D84" s="13">
        <v>591</v>
      </c>
      <c r="E84" s="13"/>
      <c r="F84" s="15">
        <v>45565</v>
      </c>
      <c r="G84" s="16">
        <v>234477</v>
      </c>
      <c r="H84" s="17">
        <v>-10000</v>
      </c>
      <c r="I84" s="17">
        <v>-10000</v>
      </c>
      <c r="J84" s="16">
        <f ca="1">TODAY()-F84</f>
        <v>429</v>
      </c>
      <c r="K84" s="16"/>
      <c r="L84" s="16"/>
      <c r="M84" s="16"/>
      <c r="N84" s="16"/>
      <c r="O84" s="16"/>
      <c r="P84" s="17"/>
      <c r="Q84" s="17"/>
      <c r="R84" s="39"/>
    </row>
    <row r="85" spans="2:18" x14ac:dyDescent="0.35">
      <c r="B85" s="20">
        <v>190011841</v>
      </c>
      <c r="C85" s="21" t="s">
        <v>108</v>
      </c>
      <c r="D85" s="20">
        <v>591</v>
      </c>
      <c r="E85" s="20"/>
      <c r="F85" s="22">
        <v>45579</v>
      </c>
      <c r="G85" s="23">
        <v>4227300558</v>
      </c>
      <c r="H85" s="19">
        <v>32804</v>
      </c>
      <c r="I85" s="19">
        <v>2804</v>
      </c>
      <c r="J85" s="16">
        <f ca="1">TODAY()-F85</f>
        <v>415</v>
      </c>
      <c r="K85" s="16"/>
      <c r="L85" s="16"/>
      <c r="M85" s="16"/>
      <c r="N85" s="16"/>
      <c r="O85" s="16"/>
      <c r="P85" s="17"/>
      <c r="Q85" s="17"/>
      <c r="R85" s="39"/>
    </row>
    <row r="86" spans="2:18" x14ac:dyDescent="0.35">
      <c r="B86" s="26" t="s">
        <v>109</v>
      </c>
      <c r="C86" s="27"/>
      <c r="D86" s="27"/>
      <c r="E86" s="27"/>
      <c r="F86" s="28"/>
      <c r="G86" s="29"/>
      <c r="H86" s="30"/>
      <c r="I86" s="30">
        <f>SUBTOTAL(9,I82:I85)</f>
        <v>0</v>
      </c>
      <c r="J86" s="48"/>
      <c r="K86" s="48"/>
      <c r="L86" s="48"/>
      <c r="M86" s="48"/>
      <c r="N86" s="48"/>
      <c r="O86" s="48"/>
      <c r="P86" s="17"/>
      <c r="Q86" s="17"/>
      <c r="R86" s="39"/>
    </row>
    <row r="87" spans="2:18" x14ac:dyDescent="0.35">
      <c r="B87" s="40">
        <v>190014789</v>
      </c>
      <c r="C87" s="41" t="s">
        <v>110</v>
      </c>
      <c r="D87" s="40">
        <v>591</v>
      </c>
      <c r="E87" s="40"/>
      <c r="F87" s="42">
        <v>45527</v>
      </c>
      <c r="G87" s="43">
        <v>4227293143</v>
      </c>
      <c r="H87" s="44">
        <v>7298</v>
      </c>
      <c r="I87" s="44">
        <v>7298</v>
      </c>
      <c r="J87" s="16">
        <f ca="1">TODAY()-F87</f>
        <v>467</v>
      </c>
      <c r="K87" s="16"/>
      <c r="L87" s="16"/>
      <c r="M87" s="16"/>
      <c r="N87" s="16"/>
      <c r="O87" s="16"/>
      <c r="P87" s="17">
        <f>I87</f>
        <v>7298</v>
      </c>
      <c r="Q87" s="17"/>
      <c r="R87" s="39" t="s">
        <v>111</v>
      </c>
    </row>
    <row r="88" spans="2:18" x14ac:dyDescent="0.35">
      <c r="B88" s="26" t="s">
        <v>112</v>
      </c>
      <c r="C88" s="27"/>
      <c r="D88" s="27"/>
      <c r="E88" s="27"/>
      <c r="F88" s="28"/>
      <c r="G88" s="29"/>
      <c r="H88" s="30"/>
      <c r="I88" s="30">
        <f>SUBTOTAL(9,I87:I87)</f>
        <v>7298</v>
      </c>
      <c r="J88" s="48"/>
      <c r="K88" s="48"/>
      <c r="L88" s="48"/>
      <c r="M88" s="48"/>
      <c r="N88" s="48"/>
      <c r="O88" s="48"/>
      <c r="P88" s="17"/>
      <c r="Q88" s="17"/>
      <c r="R88" s="39"/>
    </row>
    <row r="89" spans="2:18" x14ac:dyDescent="0.35">
      <c r="B89" s="40">
        <v>190014470</v>
      </c>
      <c r="C89" s="41" t="s">
        <v>113</v>
      </c>
      <c r="D89" s="40">
        <v>591</v>
      </c>
      <c r="E89" s="40"/>
      <c r="F89" s="42">
        <v>45569</v>
      </c>
      <c r="G89" s="43">
        <v>4227299501</v>
      </c>
      <c r="H89" s="44">
        <v>28320</v>
      </c>
      <c r="I89" s="44">
        <v>3320</v>
      </c>
      <c r="J89" s="16">
        <f ca="1">TODAY()-F89</f>
        <v>425</v>
      </c>
      <c r="K89" s="16"/>
      <c r="L89" s="16"/>
      <c r="M89" s="16"/>
      <c r="N89" s="16"/>
      <c r="O89" s="16"/>
      <c r="P89" s="17">
        <f>I89</f>
        <v>3320</v>
      </c>
      <c r="Q89" s="17"/>
      <c r="R89" s="39" t="s">
        <v>111</v>
      </c>
    </row>
    <row r="90" spans="2:18" x14ac:dyDescent="0.35">
      <c r="B90" s="50" t="s">
        <v>114</v>
      </c>
      <c r="C90" s="51"/>
      <c r="D90" s="51"/>
      <c r="E90" s="51"/>
      <c r="F90" s="52"/>
      <c r="G90" s="53"/>
      <c r="H90" s="54"/>
      <c r="I90" s="54">
        <f>SUBTOTAL(9,I89:I89)</f>
        <v>3320</v>
      </c>
      <c r="J90" s="55"/>
      <c r="K90" s="55"/>
      <c r="L90" s="55"/>
      <c r="M90" s="55"/>
      <c r="N90" s="55"/>
      <c r="O90" s="55"/>
      <c r="P90" s="56"/>
      <c r="Q90" s="56"/>
      <c r="R90" s="57"/>
    </row>
    <row r="91" spans="2:18" x14ac:dyDescent="0.35">
      <c r="B91" s="58" t="s">
        <v>115</v>
      </c>
      <c r="C91" s="59"/>
      <c r="D91" s="59"/>
      <c r="E91" s="59"/>
      <c r="F91" s="60"/>
      <c r="G91" s="61"/>
      <c r="H91" s="62"/>
      <c r="I91" s="62">
        <f>SUBTOTAL(9,I4:I89)</f>
        <v>503011</v>
      </c>
      <c r="J91" s="63"/>
      <c r="K91" s="63"/>
      <c r="L91" s="63"/>
      <c r="M91" s="63"/>
      <c r="N91" s="63"/>
      <c r="O91" s="63"/>
      <c r="P91" s="62">
        <f t="shared" ref="P91" si="0">SUM(P4:P90)</f>
        <v>182464</v>
      </c>
      <c r="Q91" s="62"/>
      <c r="R91" s="64"/>
    </row>
    <row r="94" spans="2:18" x14ac:dyDescent="0.35">
      <c r="B94" t="s">
        <v>121</v>
      </c>
      <c r="C94" s="2"/>
      <c r="D94" s="2"/>
      <c r="E94" s="2"/>
      <c r="F94" s="3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2:18" x14ac:dyDescent="0.35">
      <c r="B95" s="111" t="s">
        <v>122</v>
      </c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</row>
    <row r="96" spans="2:18" x14ac:dyDescent="0.35">
      <c r="B96" t="s">
        <v>123</v>
      </c>
      <c r="C96" s="2"/>
      <c r="D96" s="2"/>
      <c r="E96" s="2"/>
      <c r="F96" s="3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2:18" x14ac:dyDescent="0.35">
      <c r="B97" s="112" t="s">
        <v>124</v>
      </c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</row>
    <row r="98" spans="2:18" x14ac:dyDescent="0.35">
      <c r="B98" s="2"/>
      <c r="C98" s="2"/>
      <c r="D98" s="2"/>
      <c r="E98" s="2"/>
      <c r="F98" s="3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2:18" x14ac:dyDescent="0.35">
      <c r="B99" t="s">
        <v>125</v>
      </c>
      <c r="C99" s="2"/>
      <c r="D99" s="2"/>
      <c r="E99" s="2"/>
      <c r="F99" s="3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</row>
  </sheetData>
  <mergeCells count="3">
    <mergeCell ref="R4:R5"/>
    <mergeCell ref="B95:R95"/>
    <mergeCell ref="B97:R9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939C-6334-41BF-9654-A985FF7DD7F5}">
  <dimension ref="B2:M17"/>
  <sheetViews>
    <sheetView workbookViewId="0">
      <selection activeCell="M11" sqref="M11"/>
    </sheetView>
  </sheetViews>
  <sheetFormatPr defaultRowHeight="14.5" x14ac:dyDescent="0.35"/>
  <cols>
    <col min="3" max="3" width="13.54296875" customWidth="1"/>
    <col min="4" max="4" width="15.6328125" bestFit="1" customWidth="1"/>
    <col min="5" max="8" width="11.453125" bestFit="1" customWidth="1"/>
    <col min="9" max="9" width="12.453125" bestFit="1" customWidth="1"/>
    <col min="10" max="10" width="11.453125" bestFit="1" customWidth="1"/>
    <col min="11" max="11" width="13.54296875" bestFit="1" customWidth="1"/>
    <col min="12" max="12" width="17.453125" bestFit="1" customWidth="1"/>
  </cols>
  <sheetData>
    <row r="2" spans="2:13" x14ac:dyDescent="0.35">
      <c r="B2" t="s">
        <v>150</v>
      </c>
    </row>
    <row r="3" spans="2:13" x14ac:dyDescent="0.35">
      <c r="B3" s="101" t="s">
        <v>133</v>
      </c>
      <c r="D3" s="100" t="s">
        <v>134</v>
      </c>
      <c r="E3" s="90"/>
      <c r="F3" s="90"/>
      <c r="G3" s="90"/>
      <c r="H3" s="90"/>
      <c r="I3" s="90"/>
      <c r="J3" s="90"/>
      <c r="K3" s="90"/>
    </row>
    <row r="4" spans="2:13" ht="39" x14ac:dyDescent="0.35">
      <c r="B4" s="99" t="s">
        <v>119</v>
      </c>
      <c r="C4" s="99" t="s">
        <v>119</v>
      </c>
      <c r="D4" s="91" t="s">
        <v>142</v>
      </c>
      <c r="E4" s="91" t="s">
        <v>143</v>
      </c>
      <c r="F4" s="91" t="s">
        <v>144</v>
      </c>
      <c r="G4" s="91" t="s">
        <v>145</v>
      </c>
      <c r="H4" s="91" t="s">
        <v>146</v>
      </c>
      <c r="I4" s="91" t="s">
        <v>147</v>
      </c>
      <c r="J4" s="91" t="s">
        <v>148</v>
      </c>
      <c r="K4" s="91" t="s">
        <v>115</v>
      </c>
      <c r="L4" s="92" t="s">
        <v>136</v>
      </c>
      <c r="M4" s="114" t="s">
        <v>167</v>
      </c>
    </row>
    <row r="5" spans="2:13" x14ac:dyDescent="0.35">
      <c r="B5" s="93">
        <v>409</v>
      </c>
      <c r="C5" s="93" t="s">
        <v>137</v>
      </c>
      <c r="D5" s="94">
        <v>653203.5</v>
      </c>
      <c r="E5" s="94">
        <v>846850</v>
      </c>
      <c r="F5" s="94">
        <v>649135.41999999993</v>
      </c>
      <c r="G5" s="94">
        <v>1250146.1399999999</v>
      </c>
      <c r="H5" s="94">
        <v>1617748.6800000002</v>
      </c>
      <c r="I5" s="94">
        <v>23791161.579999998</v>
      </c>
      <c r="J5" s="94">
        <v>1206568.1399999999</v>
      </c>
      <c r="K5" s="94">
        <v>30014813.460000001</v>
      </c>
      <c r="L5" s="94">
        <v>9004444.0380000006</v>
      </c>
      <c r="M5" s="115">
        <f>L5/GETPIVOTDATA("Out Amount",$B$3,"ADM",409,"ADM Name","Nadeera Fernando")</f>
        <v>0.3</v>
      </c>
    </row>
    <row r="6" spans="2:13" x14ac:dyDescent="0.35">
      <c r="B6" s="93">
        <v>412</v>
      </c>
      <c r="C6" s="93" t="s">
        <v>138</v>
      </c>
      <c r="D6" s="94">
        <v>741242.23</v>
      </c>
      <c r="E6" s="94">
        <v>1469915.76</v>
      </c>
      <c r="F6" s="94">
        <v>714614.08000000007</v>
      </c>
      <c r="G6" s="94">
        <v>166699.19</v>
      </c>
      <c r="H6" s="94">
        <v>2813872.05</v>
      </c>
      <c r="I6" s="94">
        <v>13490063.239999998</v>
      </c>
      <c r="J6" s="94">
        <v>33959.11</v>
      </c>
      <c r="K6" s="94">
        <v>19430365.659999996</v>
      </c>
      <c r="L6" s="94">
        <v>8743664.5469999984</v>
      </c>
      <c r="M6" s="115">
        <f t="shared" ref="M6:M9" si="0">L6/GETPIVOTDATA("Out Amount",$B$3,"ADM",409,"ADM Name","Nadeera Fernando")</f>
        <v>0.29131164045555252</v>
      </c>
    </row>
    <row r="7" spans="2:13" x14ac:dyDescent="0.35">
      <c r="B7" s="93">
        <v>491</v>
      </c>
      <c r="C7" s="93" t="s">
        <v>139</v>
      </c>
      <c r="D7" s="94">
        <v>122794</v>
      </c>
      <c r="E7" s="94">
        <v>146645.13</v>
      </c>
      <c r="F7" s="94">
        <v>195093.78</v>
      </c>
      <c r="G7" s="94">
        <v>548488.55000000005</v>
      </c>
      <c r="H7" s="94">
        <v>1080683.5</v>
      </c>
      <c r="I7" s="94">
        <v>11270670.5</v>
      </c>
      <c r="J7" s="94">
        <v>29628</v>
      </c>
      <c r="K7" s="94">
        <v>13394003.460000001</v>
      </c>
      <c r="L7" s="94">
        <v>6000000</v>
      </c>
      <c r="M7" s="115">
        <f t="shared" si="0"/>
        <v>0.19990129234006573</v>
      </c>
    </row>
    <row r="8" spans="2:13" x14ac:dyDescent="0.35">
      <c r="B8" s="93">
        <v>566</v>
      </c>
      <c r="C8" s="93" t="s">
        <v>140</v>
      </c>
      <c r="D8" s="94">
        <v>148549</v>
      </c>
      <c r="E8" s="94">
        <v>4324.05</v>
      </c>
      <c r="F8" s="94">
        <v>174426.93</v>
      </c>
      <c r="G8" s="94">
        <v>414907.6</v>
      </c>
      <c r="H8" s="94">
        <v>1140609.51</v>
      </c>
      <c r="I8" s="94">
        <v>21389681.360000003</v>
      </c>
      <c r="J8" s="94">
        <v>-11104.5</v>
      </c>
      <c r="K8" s="94">
        <v>23261393.950000003</v>
      </c>
      <c r="L8" s="94">
        <v>15000000</v>
      </c>
      <c r="M8" s="115">
        <f t="shared" si="0"/>
        <v>0.49975323085016432</v>
      </c>
    </row>
    <row r="9" spans="2:13" x14ac:dyDescent="0.35">
      <c r="B9" s="93">
        <v>578</v>
      </c>
      <c r="C9" s="93" t="s">
        <v>141</v>
      </c>
      <c r="D9" s="94">
        <v>25294</v>
      </c>
      <c r="E9" s="94">
        <v>500</v>
      </c>
      <c r="F9" s="94">
        <v>19789</v>
      </c>
      <c r="G9" s="94">
        <v>-3539.51</v>
      </c>
      <c r="H9" s="94">
        <v>2103726.25</v>
      </c>
      <c r="I9" s="94">
        <v>17747274.77</v>
      </c>
      <c r="J9" s="94">
        <v>-182</v>
      </c>
      <c r="K9" s="94">
        <v>19892862.509999998</v>
      </c>
      <c r="L9" s="94">
        <v>1200000</v>
      </c>
      <c r="M9" s="115">
        <f t="shared" si="0"/>
        <v>3.9980258468013147E-2</v>
      </c>
    </row>
    <row r="10" spans="2:13" x14ac:dyDescent="0.35">
      <c r="B10" s="95" t="s">
        <v>115</v>
      </c>
      <c r="C10" s="96"/>
      <c r="D10" s="97">
        <v>1691082.73</v>
      </c>
      <c r="E10" s="97">
        <v>2468234.9399999995</v>
      </c>
      <c r="F10" s="97">
        <v>1753059.21</v>
      </c>
      <c r="G10" s="97">
        <v>2376701.9700000002</v>
      </c>
      <c r="H10" s="97">
        <v>8756639.9900000002</v>
      </c>
      <c r="I10" s="97">
        <v>87688851.449999988</v>
      </c>
      <c r="J10" s="97">
        <v>1258868.75</v>
      </c>
      <c r="K10" s="97">
        <v>105993439.03999999</v>
      </c>
      <c r="L10" s="98">
        <f>SUM(L5:L9)</f>
        <v>39948108.585000001</v>
      </c>
      <c r="M10" s="116">
        <f>L10/GETPIVOTDATA("Out Amount",$B$3)</f>
        <v>0.3768922769825811</v>
      </c>
    </row>
    <row r="13" spans="2:13" x14ac:dyDescent="0.35">
      <c r="B13" t="s">
        <v>149</v>
      </c>
    </row>
    <row r="15" spans="2:13" x14ac:dyDescent="0.35">
      <c r="B15" t="s">
        <v>0</v>
      </c>
    </row>
    <row r="16" spans="2:13" x14ac:dyDescent="0.35">
      <c r="B16" t="s">
        <v>4</v>
      </c>
    </row>
    <row r="17" spans="2:2" x14ac:dyDescent="0.35">
      <c r="B1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ARA</vt:lpstr>
      <vt:lpstr>YOO</vt:lpstr>
      <vt:lpstr>MOM</vt:lpstr>
      <vt:lpstr>ODB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Velayudhan, Ravi</dc:creator>
  <cp:lastModifiedBy>Velayudhan, Ravi</cp:lastModifiedBy>
  <dcterms:created xsi:type="dcterms:W3CDTF">2025-11-17T16:19:04Z</dcterms:created>
  <dcterms:modified xsi:type="dcterms:W3CDTF">2025-12-03T17:16:19Z</dcterms:modified>
</cp:coreProperties>
</file>