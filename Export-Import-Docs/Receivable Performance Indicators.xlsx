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vi\Desktop\Ravi\Mobitel Collection Portal\Reports\"/>
    </mc:Choice>
  </mc:AlternateContent>
  <xr:revisionPtr revIDLastSave="0" documentId="13_ncr:1_{58BC782E-B195-403D-87DC-5824E379E981}" xr6:coauthVersionLast="47" xr6:coauthVersionMax="47" xr10:uidLastSave="{00000000-0000-0000-0000-000000000000}"/>
  <bookViews>
    <workbookView xWindow="-110" yWindow="-110" windowWidth="19420" windowHeight="10300" xr2:uid="{67CF5F6A-B8CB-4A4C-8110-CB99096BDA6A}"/>
  </bookViews>
  <sheets>
    <sheet name="DSO" sheetId="1" r:id="rId1"/>
    <sheet name="CCD" sheetId="3" r:id="rId2"/>
    <sheet name="TVC -AR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3" l="1"/>
  <c r="I16" i="2"/>
  <c r="F16" i="2"/>
  <c r="E15" i="2"/>
  <c r="E14" i="2"/>
  <c r="E13" i="2"/>
  <c r="E12" i="2"/>
  <c r="E11" i="2"/>
  <c r="E10" i="2"/>
  <c r="E9" i="2"/>
  <c r="E8" i="2"/>
  <c r="E7" i="2"/>
  <c r="E6" i="2"/>
  <c r="E5" i="2"/>
  <c r="E4" i="2"/>
  <c r="C16" i="2"/>
  <c r="C18" i="2" s="1"/>
  <c r="D16" i="2"/>
  <c r="D18" i="2" s="1"/>
  <c r="D15" i="1"/>
  <c r="C19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G15" i="1" l="1"/>
  <c r="C18" i="1" s="1"/>
  <c r="C21" i="1" s="1"/>
  <c r="E18" i="2"/>
  <c r="E16" i="2"/>
</calcChain>
</file>

<file path=xl/sharedStrings.xml><?xml version="1.0" encoding="utf-8"?>
<sst xmlns="http://schemas.openxmlformats.org/spreadsheetml/2006/main" count="67" uniqueCount="65">
  <si>
    <t xml:space="preserve">Customer </t>
  </si>
  <si>
    <t xml:space="preserve"> Brandix PLC</t>
  </si>
  <si>
    <t>Inv No</t>
  </si>
  <si>
    <t>Invoice Date</t>
  </si>
  <si>
    <t>Amount (Rs)</t>
  </si>
  <si>
    <t>Payment Date</t>
  </si>
  <si>
    <t>Days Taken to pay</t>
  </si>
  <si>
    <t>Add all Amount X Days</t>
  </si>
  <si>
    <t>Correct Method is WaDSO</t>
  </si>
  <si>
    <t>calculation</t>
  </si>
  <si>
    <t>DSO=</t>
  </si>
  <si>
    <t>Days</t>
  </si>
  <si>
    <t>Month</t>
  </si>
  <si>
    <t>Turnover 2023</t>
  </si>
  <si>
    <t>Collection 2023</t>
  </si>
  <si>
    <t>Surplus/ (Deficit)</t>
  </si>
  <si>
    <t>Nov-23</t>
  </si>
  <si>
    <t>Dec 23</t>
  </si>
  <si>
    <t>Grand Total</t>
  </si>
  <si>
    <t>Average/ Month</t>
  </si>
  <si>
    <t>Outstanding</t>
  </si>
  <si>
    <t>Date</t>
  </si>
  <si>
    <t>This report should be generated for any selected period and must be available in multiple views, including:</t>
  </si>
  <si>
    <t>ADM-wise</t>
  </si>
  <si>
    <t>Division-wise</t>
  </si>
  <si>
    <t>Team / Sub-team wise</t>
  </si>
  <si>
    <t>Customer-wise</t>
  </si>
  <si>
    <t>Multiple ADM wise]</t>
  </si>
  <si>
    <t>Multiple custmers wise</t>
  </si>
  <si>
    <t>Purpose:</t>
  </si>
  <si>
    <t>To measure the gap between sales and collections.</t>
  </si>
  <si>
    <t>To analyse monthly outstanding build-up.</t>
  </si>
  <si>
    <t>To understand the movement of Accounts Receivable (AR).</t>
  </si>
  <si>
    <t>To identify collection shortfalls early and take action</t>
  </si>
  <si>
    <t>Invoice No</t>
  </si>
  <si>
    <t>Customer No</t>
  </si>
  <si>
    <t>Customer Name</t>
  </si>
  <si>
    <t>Collection Date</t>
  </si>
  <si>
    <t>ABC Motors</t>
  </si>
  <si>
    <t>Weighted Average Daya Sales Outstanding _ Wa DSO</t>
  </si>
  <si>
    <t>the above report must be generated by key accounts .group /clusters wise</t>
  </si>
  <si>
    <r>
      <t>Period:</t>
    </r>
    <r>
      <rPr>
        <sz val="11"/>
        <color theme="1"/>
        <rFont val="Aptos Narrow"/>
        <family val="2"/>
        <scheme val="minor"/>
      </rPr>
      <t xml:space="preserve"> November 2025</t>
    </r>
  </si>
  <si>
    <r>
      <t>ADM No:</t>
    </r>
    <r>
      <rPr>
        <sz val="11"/>
        <color theme="1"/>
        <rFont val="Aptos Narrow"/>
        <family val="2"/>
        <scheme val="minor"/>
      </rPr>
      <t xml:space="preserve"> 855</t>
    </r>
  </si>
  <si>
    <r>
      <t>ADM Name:</t>
    </r>
    <r>
      <rPr>
        <sz val="11"/>
        <color theme="1"/>
        <rFont val="Aptos Narrow"/>
        <family val="2"/>
        <scheme val="minor"/>
      </rPr>
      <t xml:space="preserve"> Sanjeewa</t>
    </r>
  </si>
  <si>
    <t>Invoice Amount (Rs)</t>
  </si>
  <si>
    <t>Payment Mode</t>
  </si>
  <si>
    <t>Collected Amount (Rs)</t>
  </si>
  <si>
    <t>Cycle Days</t>
  </si>
  <si>
    <t>Cheque</t>
  </si>
  <si>
    <t>Prime Traders</t>
  </si>
  <si>
    <t>18-09-2025</t>
  </si>
  <si>
    <t>Cash</t>
  </si>
  <si>
    <t>City Auto</t>
  </si>
  <si>
    <t>20-11-2025</t>
  </si>
  <si>
    <t>Fund Transfer</t>
  </si>
  <si>
    <t>Lanka Tools</t>
  </si>
  <si>
    <t>PDC (Realised)</t>
  </si>
  <si>
    <t>Total</t>
  </si>
  <si>
    <t>Total Invoices Collected:</t>
  </si>
  <si>
    <r>
      <t>Total Realised Collection:</t>
    </r>
    <r>
      <rPr>
        <sz val="11"/>
        <color theme="1"/>
        <rFont val="Aptos Narrow"/>
        <family val="2"/>
        <scheme val="minor"/>
      </rPr>
      <t xml:space="preserve"> Rs </t>
    </r>
  </si>
  <si>
    <r>
      <t>Average Cycle Days:</t>
    </r>
    <r>
      <rPr>
        <sz val="11"/>
        <color theme="1"/>
        <rFont val="Aptos Narrow"/>
        <family val="2"/>
        <scheme val="minor"/>
      </rPr>
      <t xml:space="preserve"> Days</t>
    </r>
  </si>
  <si>
    <r>
      <t>Fastest Cycle:</t>
    </r>
    <r>
      <rPr>
        <sz val="11"/>
        <color theme="1"/>
        <rFont val="Aptos Narrow"/>
        <family val="2"/>
        <scheme val="minor"/>
      </rPr>
      <t xml:space="preserve"> Days</t>
    </r>
  </si>
  <si>
    <r>
      <t>Slowest Cycle:</t>
    </r>
    <r>
      <rPr>
        <sz val="11"/>
        <color theme="1"/>
        <rFont val="Aptos Narrow"/>
        <family val="2"/>
        <scheme val="minor"/>
      </rPr>
      <t xml:space="preserve">  Days</t>
    </r>
  </si>
  <si>
    <t>Collection Cycle Days Report (Specimen)</t>
  </si>
  <si>
    <t>Turnover vs Collection – AR Exposure  ( TVC - ARX)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</si>
</sst>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[$-409]mmm\-yy;@"/>
    <numFmt numFmtId="166" formatCode="[$-409]dd\-mmm\-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Wuerth Global"/>
      <charset val="128"/>
    </font>
    <font>
      <b/>
      <sz val="11"/>
      <color theme="1"/>
      <name val="Wuerth Global"/>
      <charset val="128"/>
    </font>
    <font>
      <u val="singleAccounting"/>
      <sz val="11"/>
      <color theme="1"/>
      <name val="Wuerth Global"/>
      <charset val="128"/>
    </font>
    <font>
      <b/>
      <sz val="11"/>
      <color theme="1"/>
      <name val="Aptos Narrow"/>
      <family val="2"/>
      <scheme val="minor"/>
    </font>
    <font>
      <sz val="10"/>
      <color theme="1"/>
      <name val="Wuerth Global"/>
      <charset val="128"/>
    </font>
    <font>
      <b/>
      <sz val="10"/>
      <color theme="1"/>
      <name val="Wuerth Global"/>
      <charset val="128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/>
    <xf numFmtId="43" fontId="3" fillId="0" borderId="2" xfId="0" applyNumberFormat="1" applyFont="1" applyBorder="1"/>
    <xf numFmtId="0" fontId="2" fillId="0" borderId="0" xfId="0" applyFont="1" applyAlignment="1">
      <alignment horizontal="center" vertical="center" wrapText="1"/>
    </xf>
    <xf numFmtId="43" fontId="4" fillId="0" borderId="0" xfId="1" applyFont="1" applyAlignment="1">
      <alignment horizontal="center"/>
    </xf>
    <xf numFmtId="43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0" fontId="6" fillId="2" borderId="3" xfId="0" applyFont="1" applyFill="1" applyBorder="1"/>
    <xf numFmtId="0" fontId="7" fillId="2" borderId="4" xfId="0" applyFont="1" applyFill="1" applyBorder="1"/>
    <xf numFmtId="165" fontId="6" fillId="0" borderId="5" xfId="0" applyNumberFormat="1" applyFont="1" applyBorder="1" applyAlignment="1">
      <alignment horizontal="left"/>
    </xf>
    <xf numFmtId="43" fontId="6" fillId="0" borderId="1" xfId="0" applyNumberFormat="1" applyFont="1" applyBorder="1"/>
    <xf numFmtId="0" fontId="6" fillId="2" borderId="1" xfId="0" applyFont="1" applyFill="1" applyBorder="1" applyAlignment="1">
      <alignment horizontal="left"/>
    </xf>
    <xf numFmtId="43" fontId="6" fillId="2" borderId="7" xfId="0" applyNumberFormat="1" applyFont="1" applyFill="1" applyBorder="1"/>
    <xf numFmtId="43" fontId="7" fillId="2" borderId="7" xfId="0" applyNumberFormat="1" applyFont="1" applyFill="1" applyBorder="1"/>
    <xf numFmtId="165" fontId="6" fillId="4" borderId="5" xfId="0" applyNumberFormat="1" applyFont="1" applyFill="1" applyBorder="1" applyAlignment="1">
      <alignment horizontal="left"/>
    </xf>
    <xf numFmtId="43" fontId="6" fillId="4" borderId="1" xfId="0" applyNumberFormat="1" applyFont="1" applyFill="1" applyBorder="1"/>
    <xf numFmtId="43" fontId="6" fillId="4" borderId="1" xfId="0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left"/>
    </xf>
    <xf numFmtId="43" fontId="6" fillId="4" borderId="6" xfId="0" applyNumberFormat="1" applyFont="1" applyFill="1" applyBorder="1"/>
    <xf numFmtId="0" fontId="5" fillId="0" borderId="0" xfId="0" applyFont="1"/>
    <xf numFmtId="0" fontId="0" fillId="0" borderId="0" xfId="0" applyAlignment="1">
      <alignment horizontal="left" vertical="center" indent="1"/>
    </xf>
    <xf numFmtId="40" fontId="2" fillId="0" borderId="1" xfId="1" applyNumberFormat="1" applyFont="1" applyBorder="1"/>
    <xf numFmtId="40" fontId="2" fillId="4" borderId="1" xfId="1" applyNumberFormat="1" applyFont="1" applyFill="1" applyBorder="1"/>
    <xf numFmtId="0" fontId="3" fillId="3" borderId="1" xfId="0" applyFont="1" applyFill="1" applyBorder="1"/>
    <xf numFmtId="43" fontId="3" fillId="3" borderId="1" xfId="0" applyNumberFormat="1" applyFont="1" applyFill="1" applyBorder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horizontal="center" vertical="center" wrapText="1"/>
    </xf>
    <xf numFmtId="4" fontId="5" fillId="0" borderId="8" xfId="0" applyNumberFormat="1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indent="1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6F9A-CDDF-4A4A-8ADA-02C4CFD0F0A1}">
  <dimension ref="A2:G23"/>
  <sheetViews>
    <sheetView tabSelected="1" workbookViewId="0">
      <selection activeCell="B15" sqref="B15"/>
    </sheetView>
  </sheetViews>
  <sheetFormatPr defaultColWidth="16" defaultRowHeight="14" x14ac:dyDescent="0.3"/>
  <cols>
    <col min="1" max="2" width="16" style="1"/>
    <col min="3" max="3" width="16" style="2"/>
    <col min="4" max="5" width="16" style="1"/>
    <col min="6" max="6" width="16" style="2"/>
    <col min="7" max="7" width="18.08984375" style="1" customWidth="1"/>
    <col min="8" max="16384" width="16" style="1"/>
  </cols>
  <sheetData>
    <row r="2" spans="1:7" x14ac:dyDescent="0.3">
      <c r="A2" s="1">
        <v>1</v>
      </c>
      <c r="B2" s="1" t="s">
        <v>39</v>
      </c>
    </row>
    <row r="3" spans="1:7" x14ac:dyDescent="0.3">
      <c r="B3" s="1" t="s">
        <v>0</v>
      </c>
      <c r="C3" s="2" t="s">
        <v>1</v>
      </c>
    </row>
    <row r="4" spans="1:7" ht="29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</row>
    <row r="5" spans="1:7" x14ac:dyDescent="0.3">
      <c r="B5" s="5">
        <v>422732505</v>
      </c>
      <c r="C5" s="6">
        <v>45658</v>
      </c>
      <c r="D5" s="7">
        <v>120000</v>
      </c>
      <c r="E5" s="8">
        <v>45752</v>
      </c>
      <c r="F5" s="9">
        <f>E5-C5</f>
        <v>94</v>
      </c>
      <c r="G5" s="10">
        <f>D5*F5</f>
        <v>11280000</v>
      </c>
    </row>
    <row r="6" spans="1:7" x14ac:dyDescent="0.3">
      <c r="B6" s="5">
        <v>422272530</v>
      </c>
      <c r="C6" s="6">
        <v>45662</v>
      </c>
      <c r="D6" s="7">
        <v>80000</v>
      </c>
      <c r="E6" s="8">
        <v>45757</v>
      </c>
      <c r="F6" s="9">
        <f t="shared" ref="F6:F14" si="0">E6-C6</f>
        <v>95</v>
      </c>
      <c r="G6" s="10">
        <f t="shared" ref="G6:G14" si="1">D6*F6</f>
        <v>7600000</v>
      </c>
    </row>
    <row r="7" spans="1:7" x14ac:dyDescent="0.3">
      <c r="B7" s="5">
        <v>421812555</v>
      </c>
      <c r="C7" s="6">
        <v>45667</v>
      </c>
      <c r="D7" s="7">
        <v>200000</v>
      </c>
      <c r="E7" s="8">
        <v>45772</v>
      </c>
      <c r="F7" s="9">
        <f t="shared" si="0"/>
        <v>105</v>
      </c>
      <c r="G7" s="10">
        <f t="shared" si="1"/>
        <v>21000000</v>
      </c>
    </row>
    <row r="8" spans="1:7" x14ac:dyDescent="0.3">
      <c r="B8" s="5">
        <v>421352580</v>
      </c>
      <c r="C8" s="6">
        <v>45669</v>
      </c>
      <c r="D8" s="7">
        <v>150000</v>
      </c>
      <c r="E8" s="8">
        <v>45762</v>
      </c>
      <c r="F8" s="9">
        <f t="shared" si="0"/>
        <v>93</v>
      </c>
      <c r="G8" s="10">
        <f t="shared" si="1"/>
        <v>13950000</v>
      </c>
    </row>
    <row r="9" spans="1:7" x14ac:dyDescent="0.3">
      <c r="B9" s="5">
        <v>420892605</v>
      </c>
      <c r="C9" s="6">
        <v>45677</v>
      </c>
      <c r="D9" s="7">
        <v>300000</v>
      </c>
      <c r="E9" s="8">
        <v>45777</v>
      </c>
      <c r="F9" s="9">
        <f t="shared" si="0"/>
        <v>100</v>
      </c>
      <c r="G9" s="10">
        <f t="shared" si="1"/>
        <v>30000000</v>
      </c>
    </row>
    <row r="10" spans="1:7" x14ac:dyDescent="0.3">
      <c r="B10" s="5">
        <v>420432630</v>
      </c>
      <c r="C10" s="6">
        <v>45682</v>
      </c>
      <c r="D10" s="7">
        <v>50000</v>
      </c>
      <c r="E10" s="8">
        <v>45767</v>
      </c>
      <c r="F10" s="9">
        <f t="shared" si="0"/>
        <v>85</v>
      </c>
      <c r="G10" s="10">
        <f t="shared" si="1"/>
        <v>4250000</v>
      </c>
    </row>
    <row r="11" spans="1:7" x14ac:dyDescent="0.3">
      <c r="B11" s="5">
        <v>419972655</v>
      </c>
      <c r="C11" s="6">
        <v>45690</v>
      </c>
      <c r="D11" s="7">
        <v>220000</v>
      </c>
      <c r="E11" s="8">
        <v>45778</v>
      </c>
      <c r="F11" s="9">
        <f t="shared" si="0"/>
        <v>88</v>
      </c>
      <c r="G11" s="10">
        <f t="shared" si="1"/>
        <v>19360000</v>
      </c>
    </row>
    <row r="12" spans="1:7" x14ac:dyDescent="0.3">
      <c r="B12" s="5">
        <v>419512680</v>
      </c>
      <c r="C12" s="6">
        <v>45693</v>
      </c>
      <c r="D12" s="7">
        <v>180000</v>
      </c>
      <c r="E12" s="8">
        <v>45782</v>
      </c>
      <c r="F12" s="9">
        <f t="shared" si="0"/>
        <v>89</v>
      </c>
      <c r="G12" s="10">
        <f t="shared" si="1"/>
        <v>16020000</v>
      </c>
    </row>
    <row r="13" spans="1:7" x14ac:dyDescent="0.3">
      <c r="B13" s="5">
        <v>419052705</v>
      </c>
      <c r="C13" s="6">
        <v>45698</v>
      </c>
      <c r="D13" s="7">
        <v>100000</v>
      </c>
      <c r="E13" s="8">
        <v>45792</v>
      </c>
      <c r="F13" s="9">
        <f t="shared" si="0"/>
        <v>94</v>
      </c>
      <c r="G13" s="10">
        <f t="shared" si="1"/>
        <v>9400000</v>
      </c>
    </row>
    <row r="14" spans="1:7" x14ac:dyDescent="0.3">
      <c r="B14" s="5">
        <v>418592730</v>
      </c>
      <c r="C14" s="6">
        <v>45700</v>
      </c>
      <c r="D14" s="7">
        <v>300000</v>
      </c>
      <c r="E14" s="8">
        <v>45798</v>
      </c>
      <c r="F14" s="9">
        <f t="shared" si="0"/>
        <v>98</v>
      </c>
      <c r="G14" s="10">
        <f t="shared" si="1"/>
        <v>29400000</v>
      </c>
    </row>
    <row r="15" spans="1:7" ht="15" thickBot="1" x14ac:dyDescent="0.4">
      <c r="D15" s="11">
        <f>SUM(D5:D14)</f>
        <v>1700000</v>
      </c>
      <c r="G15" s="11">
        <f>SUM(G5:G14)</f>
        <v>162260000</v>
      </c>
    </row>
    <row r="16" spans="1:7" ht="14.5" thickTop="1" x14ac:dyDescent="0.3">
      <c r="B16" s="1" t="s">
        <v>8</v>
      </c>
    </row>
    <row r="17" spans="2:4" x14ac:dyDescent="0.3">
      <c r="B17" s="1" t="s">
        <v>9</v>
      </c>
    </row>
    <row r="18" spans="2:4" ht="15.5" x14ac:dyDescent="0.45">
      <c r="B18" s="52" t="s">
        <v>10</v>
      </c>
      <c r="C18" s="13">
        <f>G15</f>
        <v>162260000</v>
      </c>
    </row>
    <row r="19" spans="2:4" x14ac:dyDescent="0.3">
      <c r="B19" s="52"/>
      <c r="C19" s="14">
        <f>D15</f>
        <v>1700000</v>
      </c>
    </row>
    <row r="21" spans="2:4" x14ac:dyDescent="0.3">
      <c r="B21" s="12" t="s">
        <v>10</v>
      </c>
      <c r="C21" s="15">
        <f>C18/C19</f>
        <v>95.447058823529417</v>
      </c>
      <c r="D21" s="1" t="s">
        <v>11</v>
      </c>
    </row>
    <row r="22" spans="2:4" x14ac:dyDescent="0.3">
      <c r="B22" s="16"/>
    </row>
    <row r="23" spans="2:4" ht="14.5" x14ac:dyDescent="0.35">
      <c r="B23" t="s">
        <v>40</v>
      </c>
    </row>
  </sheetData>
  <mergeCells count="1">
    <mergeCell ref="B18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DE7C-1962-403A-9D5A-6689347031C3}">
  <dimension ref="C3:L20"/>
  <sheetViews>
    <sheetView workbookViewId="0">
      <selection activeCell="C3" sqref="C3"/>
    </sheetView>
  </sheetViews>
  <sheetFormatPr defaultRowHeight="14.5" x14ac:dyDescent="0.35"/>
  <cols>
    <col min="3" max="3" width="36.81640625" customWidth="1"/>
    <col min="4" max="4" width="13.54296875" customWidth="1"/>
    <col min="5" max="5" width="19.26953125" customWidth="1"/>
    <col min="6" max="6" width="15.54296875" customWidth="1"/>
    <col min="7" max="7" width="14.54296875" customWidth="1"/>
    <col min="8" max="8" width="12.26953125" customWidth="1"/>
    <col min="9" max="9" width="12.36328125" customWidth="1"/>
    <col min="10" max="10" width="12.54296875" customWidth="1"/>
    <col min="11" max="11" width="8.7265625" style="36"/>
    <col min="12" max="12" width="12" style="36" customWidth="1"/>
  </cols>
  <sheetData>
    <row r="3" spans="3:11" ht="23.5" x14ac:dyDescent="0.35">
      <c r="C3" s="39" t="s">
        <v>63</v>
      </c>
    </row>
    <row r="5" spans="3:11" x14ac:dyDescent="0.35">
      <c r="C5" s="29" t="s">
        <v>41</v>
      </c>
    </row>
    <row r="6" spans="3:11" x14ac:dyDescent="0.35">
      <c r="C6" s="29" t="s">
        <v>42</v>
      </c>
    </row>
    <row r="7" spans="3:11" x14ac:dyDescent="0.35">
      <c r="C7" s="29" t="s">
        <v>43</v>
      </c>
    </row>
    <row r="9" spans="3:11" ht="29" x14ac:dyDescent="0.35">
      <c r="C9" s="47" t="s">
        <v>34</v>
      </c>
      <c r="D9" s="47" t="s">
        <v>35</v>
      </c>
      <c r="E9" s="47" t="s">
        <v>36</v>
      </c>
      <c r="F9" s="47" t="s">
        <v>3</v>
      </c>
      <c r="G9" s="47" t="s">
        <v>44</v>
      </c>
      <c r="H9" s="47" t="s">
        <v>37</v>
      </c>
      <c r="I9" s="47" t="s">
        <v>45</v>
      </c>
      <c r="J9" s="47" t="s">
        <v>46</v>
      </c>
      <c r="K9" s="47" t="s">
        <v>47</v>
      </c>
    </row>
    <row r="10" spans="3:11" x14ac:dyDescent="0.35">
      <c r="C10" s="38">
        <v>4227252255</v>
      </c>
      <c r="D10" s="37">
        <v>190008001</v>
      </c>
      <c r="E10" s="37" t="s">
        <v>38</v>
      </c>
      <c r="F10" s="43">
        <v>45696</v>
      </c>
      <c r="G10" s="44">
        <v>150000</v>
      </c>
      <c r="H10" s="43">
        <v>45788</v>
      </c>
      <c r="I10" s="37" t="s">
        <v>48</v>
      </c>
      <c r="J10" s="44">
        <v>150000</v>
      </c>
      <c r="K10" s="42">
        <v>95</v>
      </c>
    </row>
    <row r="11" spans="3:11" x14ac:dyDescent="0.35">
      <c r="C11" s="38">
        <v>4227335289</v>
      </c>
      <c r="D11" s="37">
        <v>190001234</v>
      </c>
      <c r="E11" s="37" t="s">
        <v>49</v>
      </c>
      <c r="F11" s="38" t="s">
        <v>50</v>
      </c>
      <c r="G11" s="44">
        <v>275000</v>
      </c>
      <c r="H11" s="43">
        <v>46002</v>
      </c>
      <c r="I11" s="37" t="s">
        <v>51</v>
      </c>
      <c r="J11" s="44">
        <v>275000</v>
      </c>
      <c r="K11" s="42">
        <v>55</v>
      </c>
    </row>
    <row r="12" spans="3:11" x14ac:dyDescent="0.35">
      <c r="C12" s="38">
        <v>4227218595</v>
      </c>
      <c r="D12" s="37">
        <v>190005245</v>
      </c>
      <c r="E12" s="37" t="s">
        <v>52</v>
      </c>
      <c r="F12" s="43">
        <v>45667</v>
      </c>
      <c r="G12" s="44">
        <v>325000</v>
      </c>
      <c r="H12" s="38" t="s">
        <v>53</v>
      </c>
      <c r="I12" s="37" t="s">
        <v>54</v>
      </c>
      <c r="J12" s="44">
        <v>325000</v>
      </c>
      <c r="K12" s="42">
        <v>50</v>
      </c>
    </row>
    <row r="13" spans="3:11" ht="29" x14ac:dyDescent="0.35">
      <c r="C13" s="38">
        <v>4327258945</v>
      </c>
      <c r="D13" s="37">
        <v>190014564</v>
      </c>
      <c r="E13" s="37" t="s">
        <v>55</v>
      </c>
      <c r="F13" s="45">
        <v>45945</v>
      </c>
      <c r="G13" s="44">
        <v>500000</v>
      </c>
      <c r="H13" s="45">
        <v>46019</v>
      </c>
      <c r="I13" s="37" t="s">
        <v>56</v>
      </c>
      <c r="J13" s="44">
        <v>500000</v>
      </c>
      <c r="K13" s="42">
        <f>H13-F13</f>
        <v>74</v>
      </c>
    </row>
    <row r="14" spans="3:11" ht="15" thickBot="1" x14ac:dyDescent="0.4">
      <c r="C14" s="41" t="s">
        <v>57</v>
      </c>
      <c r="D14" s="40"/>
      <c r="E14" s="40"/>
      <c r="F14" s="40"/>
      <c r="G14" s="46">
        <v>1250000</v>
      </c>
      <c r="H14" s="40"/>
      <c r="I14" s="40"/>
      <c r="J14" s="46">
        <v>1250000</v>
      </c>
    </row>
    <row r="15" spans="3:11" ht="15" thickTop="1" x14ac:dyDescent="0.35"/>
    <row r="16" spans="3:11" x14ac:dyDescent="0.35">
      <c r="C16" s="48" t="s">
        <v>58</v>
      </c>
      <c r="D16" s="38">
        <v>4</v>
      </c>
    </row>
    <row r="17" spans="3:4" x14ac:dyDescent="0.35">
      <c r="C17" s="48" t="s">
        <v>59</v>
      </c>
      <c r="D17" s="49">
        <v>1250000</v>
      </c>
    </row>
    <row r="18" spans="3:4" x14ac:dyDescent="0.35">
      <c r="C18" s="48" t="s">
        <v>60</v>
      </c>
      <c r="D18" s="50">
        <v>68.5</v>
      </c>
    </row>
    <row r="19" spans="3:4" x14ac:dyDescent="0.35">
      <c r="C19" s="48" t="s">
        <v>61</v>
      </c>
      <c r="D19" s="50">
        <v>50</v>
      </c>
    </row>
    <row r="20" spans="3:4" x14ac:dyDescent="0.35">
      <c r="C20" s="48" t="s">
        <v>62</v>
      </c>
      <c r="D20" s="50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D255-7635-4EC3-81DB-507A2F14BD73}">
  <dimension ref="B1:I36"/>
  <sheetViews>
    <sheetView workbookViewId="0">
      <selection activeCell="G13" sqref="G13"/>
    </sheetView>
  </sheetViews>
  <sheetFormatPr defaultRowHeight="14" x14ac:dyDescent="0.3"/>
  <cols>
    <col min="1" max="1" width="8.7265625" style="1"/>
    <col min="2" max="2" width="15.36328125" style="1" customWidth="1"/>
    <col min="3" max="3" width="14.1796875" style="1" customWidth="1"/>
    <col min="4" max="5" width="17.453125" style="1" customWidth="1"/>
    <col min="6" max="6" width="16.1796875" style="1" customWidth="1"/>
    <col min="7" max="8" width="8.7265625" style="1"/>
    <col min="9" max="9" width="12.453125" style="1" customWidth="1"/>
    <col min="10" max="16384" width="8.7265625" style="1"/>
  </cols>
  <sheetData>
    <row r="1" spans="2:9" ht="14.5" x14ac:dyDescent="0.3">
      <c r="B1" s="51" t="s">
        <v>64</v>
      </c>
    </row>
    <row r="2" spans="2:9" x14ac:dyDescent="0.3">
      <c r="B2" s="1" t="s">
        <v>21</v>
      </c>
    </row>
    <row r="3" spans="2:9" x14ac:dyDescent="0.3">
      <c r="B3" s="17" t="s">
        <v>12</v>
      </c>
      <c r="C3" s="17" t="s">
        <v>13</v>
      </c>
      <c r="D3" s="18" t="s">
        <v>14</v>
      </c>
      <c r="E3" s="18" t="s">
        <v>15</v>
      </c>
      <c r="F3" s="18" t="s">
        <v>20</v>
      </c>
    </row>
    <row r="4" spans="2:9" x14ac:dyDescent="0.3">
      <c r="B4" s="19">
        <v>44927</v>
      </c>
      <c r="C4" s="20">
        <v>900000</v>
      </c>
      <c r="D4" s="20">
        <v>699600</v>
      </c>
      <c r="E4" s="31">
        <f>D4-C4</f>
        <v>-200400</v>
      </c>
      <c r="F4" s="31">
        <v>15000</v>
      </c>
    </row>
    <row r="5" spans="2:9" x14ac:dyDescent="0.3">
      <c r="B5" s="24">
        <v>44958</v>
      </c>
      <c r="C5" s="25">
        <v>830000</v>
      </c>
      <c r="D5" s="25">
        <v>691990</v>
      </c>
      <c r="E5" s="32">
        <f t="shared" ref="E5:E15" si="0">D5-C5</f>
        <v>-138010</v>
      </c>
      <c r="F5" s="32">
        <v>85000</v>
      </c>
    </row>
    <row r="6" spans="2:9" x14ac:dyDescent="0.3">
      <c r="B6" s="19">
        <v>44986</v>
      </c>
      <c r="C6" s="20">
        <v>901000</v>
      </c>
      <c r="D6" s="20">
        <v>753390</v>
      </c>
      <c r="E6" s="31">
        <f t="shared" si="0"/>
        <v>-147610</v>
      </c>
      <c r="F6" s="31">
        <v>95000</v>
      </c>
    </row>
    <row r="7" spans="2:9" x14ac:dyDescent="0.3">
      <c r="B7" s="24">
        <v>45017</v>
      </c>
      <c r="C7" s="25">
        <v>672000</v>
      </c>
      <c r="D7" s="25">
        <v>513100</v>
      </c>
      <c r="E7" s="32">
        <f t="shared" si="0"/>
        <v>-158900</v>
      </c>
      <c r="F7" s="32">
        <v>65000</v>
      </c>
    </row>
    <row r="8" spans="2:9" x14ac:dyDescent="0.3">
      <c r="B8" s="19">
        <v>45047</v>
      </c>
      <c r="C8" s="20">
        <v>855000</v>
      </c>
      <c r="D8" s="20">
        <v>826090</v>
      </c>
      <c r="E8" s="31">
        <f t="shared" si="0"/>
        <v>-28910</v>
      </c>
      <c r="F8" s="31">
        <v>100000</v>
      </c>
    </row>
    <row r="9" spans="2:9" x14ac:dyDescent="0.3">
      <c r="B9" s="24">
        <v>45078</v>
      </c>
      <c r="C9" s="25">
        <v>834900</v>
      </c>
      <c r="D9" s="25">
        <v>827900</v>
      </c>
      <c r="E9" s="32">
        <f t="shared" si="0"/>
        <v>-7000</v>
      </c>
      <c r="F9" s="32">
        <v>105000</v>
      </c>
    </row>
    <row r="10" spans="2:9" x14ac:dyDescent="0.3">
      <c r="B10" s="19">
        <v>45108</v>
      </c>
      <c r="C10" s="20">
        <v>885700</v>
      </c>
      <c r="D10" s="20">
        <v>781600</v>
      </c>
      <c r="E10" s="31">
        <f t="shared" si="0"/>
        <v>-104100</v>
      </c>
      <c r="F10" s="31">
        <v>92000</v>
      </c>
    </row>
    <row r="11" spans="2:9" x14ac:dyDescent="0.3">
      <c r="B11" s="24">
        <v>45139</v>
      </c>
      <c r="C11" s="25">
        <v>1077600</v>
      </c>
      <c r="D11" s="25">
        <v>781800</v>
      </c>
      <c r="E11" s="32">
        <f t="shared" si="0"/>
        <v>-295800</v>
      </c>
      <c r="F11" s="32">
        <v>180000</v>
      </c>
    </row>
    <row r="12" spans="2:9" x14ac:dyDescent="0.3">
      <c r="B12" s="19">
        <v>45170</v>
      </c>
      <c r="C12" s="20">
        <v>868800</v>
      </c>
      <c r="D12" s="20">
        <v>692400</v>
      </c>
      <c r="E12" s="31">
        <f t="shared" si="0"/>
        <v>-176400</v>
      </c>
      <c r="F12" s="31">
        <v>450000</v>
      </c>
    </row>
    <row r="13" spans="2:9" x14ac:dyDescent="0.3">
      <c r="B13" s="24">
        <v>45200</v>
      </c>
      <c r="C13" s="26">
        <v>894000</v>
      </c>
      <c r="D13" s="25">
        <v>917540</v>
      </c>
      <c r="E13" s="32">
        <f t="shared" si="0"/>
        <v>23540</v>
      </c>
      <c r="F13" s="32">
        <v>560000</v>
      </c>
    </row>
    <row r="14" spans="2:9" x14ac:dyDescent="0.3">
      <c r="B14" s="19" t="s">
        <v>16</v>
      </c>
      <c r="C14" s="20">
        <v>1006000</v>
      </c>
      <c r="D14" s="20">
        <v>904000</v>
      </c>
      <c r="E14" s="31">
        <f t="shared" si="0"/>
        <v>-102000</v>
      </c>
      <c r="F14" s="31">
        <v>425000</v>
      </c>
      <c r="I14" s="1">
        <v>23075.14</v>
      </c>
    </row>
    <row r="15" spans="2:9" x14ac:dyDescent="0.3">
      <c r="B15" s="27" t="s">
        <v>17</v>
      </c>
      <c r="C15" s="28">
        <v>724700</v>
      </c>
      <c r="D15" s="25">
        <v>716000</v>
      </c>
      <c r="E15" s="32">
        <f t="shared" si="0"/>
        <v>-8700</v>
      </c>
      <c r="F15" s="32">
        <v>550000</v>
      </c>
      <c r="I15" s="1">
        <v>16997.310000000001</v>
      </c>
    </row>
    <row r="16" spans="2:9" ht="14.5" thickBot="1" x14ac:dyDescent="0.35">
      <c r="B16" s="21" t="s">
        <v>18</v>
      </c>
      <c r="C16" s="22">
        <f>SUM(C4:C15)</f>
        <v>10449700</v>
      </c>
      <c r="D16" s="23">
        <f>SUM(D4:D15)</f>
        <v>9105410</v>
      </c>
      <c r="E16" s="23">
        <f>SUM(E4:E15)</f>
        <v>-1344290</v>
      </c>
      <c r="F16" s="23">
        <f>SUM(F4:F15)</f>
        <v>2722000</v>
      </c>
      <c r="I16" s="1">
        <f>SUM(I14:I15)</f>
        <v>40072.449999999997</v>
      </c>
    </row>
    <row r="17" spans="2:5" ht="14.5" thickTop="1" x14ac:dyDescent="0.3"/>
    <row r="18" spans="2:5" ht="14.5" x14ac:dyDescent="0.35">
      <c r="B18" s="33" t="s">
        <v>19</v>
      </c>
      <c r="C18" s="34">
        <f>C16/12</f>
        <v>870808.33333333337</v>
      </c>
      <c r="D18" s="34">
        <f>D16/12</f>
        <v>758784.16666666663</v>
      </c>
      <c r="E18" s="34">
        <f>C18-D18</f>
        <v>112024.16666666674</v>
      </c>
    </row>
    <row r="23" spans="2:5" x14ac:dyDescent="0.3">
      <c r="B23" s="1" t="s">
        <v>22</v>
      </c>
    </row>
    <row r="24" spans="2:5" x14ac:dyDescent="0.3">
      <c r="B24" s="35" t="s">
        <v>23</v>
      </c>
    </row>
    <row r="25" spans="2:5" x14ac:dyDescent="0.3">
      <c r="B25" s="35" t="s">
        <v>24</v>
      </c>
    </row>
    <row r="26" spans="2:5" x14ac:dyDescent="0.3">
      <c r="B26" s="35" t="s">
        <v>25</v>
      </c>
    </row>
    <row r="27" spans="2:5" x14ac:dyDescent="0.3">
      <c r="B27" s="35" t="s">
        <v>26</v>
      </c>
    </row>
    <row r="28" spans="2:5" x14ac:dyDescent="0.3">
      <c r="B28" s="35" t="s">
        <v>27</v>
      </c>
    </row>
    <row r="29" spans="2:5" x14ac:dyDescent="0.3">
      <c r="B29" s="35" t="s">
        <v>28</v>
      </c>
    </row>
    <row r="32" spans="2:5" ht="14.5" x14ac:dyDescent="0.35">
      <c r="B32" s="29" t="s">
        <v>29</v>
      </c>
    </row>
    <row r="33" spans="2:2" ht="14.5" x14ac:dyDescent="0.3">
      <c r="B33" s="30" t="s">
        <v>30</v>
      </c>
    </row>
    <row r="34" spans="2:2" ht="14.5" x14ac:dyDescent="0.3">
      <c r="B34" s="30" t="s">
        <v>31</v>
      </c>
    </row>
    <row r="35" spans="2:2" ht="14.5" x14ac:dyDescent="0.3">
      <c r="B35" s="30" t="s">
        <v>32</v>
      </c>
    </row>
    <row r="36" spans="2:2" ht="14.5" x14ac:dyDescent="0.3">
      <c r="B36" s="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DSO</vt:lpstr>
      <vt:lpstr>CCD</vt:lpstr>
      <vt:lpstr>TVC -ARX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Velayudhan, Ravi</dc:creator>
  <cp:lastModifiedBy>Velayudhan, Ravi</cp:lastModifiedBy>
  <dcterms:created xsi:type="dcterms:W3CDTF">2025-11-18T17:14:49Z</dcterms:created>
  <dcterms:modified xsi:type="dcterms:W3CDTF">2025-12-03T17:36:33Z</dcterms:modified>
</cp:coreProperties>
</file>