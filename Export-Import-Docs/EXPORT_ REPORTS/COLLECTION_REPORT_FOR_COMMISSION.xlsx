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ma\Desktop\Work 2025\PROJECTS_2025\COLLECTION_PORTAL\EXPORT_ REPORTS\"/>
    </mc:Choice>
  </mc:AlternateContent>
  <xr:revisionPtr revIDLastSave="0" documentId="13_ncr:1_{AF2A08B8-2CE2-4597-83FA-16151AF584EB}" xr6:coauthVersionLast="47" xr6:coauthVersionMax="47" xr10:uidLastSave="{00000000-0000-0000-0000-000000000000}"/>
  <bookViews>
    <workbookView xWindow="-108" yWindow="-108" windowWidth="23256" windowHeight="12456" xr2:uid="{5EB3F417-756E-4C17-B96B-14D9768FE3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1" l="1"/>
  <c r="J27" i="1" s="1"/>
  <c r="L25" i="1"/>
  <c r="L27" i="1" s="1"/>
  <c r="O24" i="1"/>
  <c r="O27" i="1" s="1"/>
  <c r="N23" i="1"/>
  <c r="N27" i="1" s="1"/>
  <c r="M22" i="1"/>
  <c r="M27" i="1"/>
  <c r="K27" i="1"/>
  <c r="I27" i="1"/>
  <c r="H27" i="1"/>
  <c r="H19" i="1"/>
  <c r="I19" i="1"/>
  <c r="O19" i="1"/>
  <c r="N19" i="1"/>
  <c r="M19" i="1"/>
  <c r="J19" i="1"/>
  <c r="L15" i="1"/>
  <c r="L16" i="1"/>
  <c r="L14" i="1"/>
  <c r="L19" i="1" s="1"/>
  <c r="K13" i="1"/>
  <c r="K19" i="1" s="1"/>
  <c r="J11" i="1"/>
</calcChain>
</file>

<file path=xl/sharedStrings.xml><?xml version="1.0" encoding="utf-8"?>
<sst xmlns="http://schemas.openxmlformats.org/spreadsheetml/2006/main" count="137" uniqueCount="69">
  <si>
    <t>Sales Rep.</t>
  </si>
  <si>
    <t>Sales Rep. Name</t>
  </si>
  <si>
    <t>Customer Name</t>
  </si>
  <si>
    <t>Customer</t>
  </si>
  <si>
    <t>Amount</t>
  </si>
  <si>
    <t>0 - 30</t>
  </si>
  <si>
    <t>31 - 60</t>
  </si>
  <si>
    <t xml:space="preserve">61 - 90 </t>
  </si>
  <si>
    <t>91 - 120</t>
  </si>
  <si>
    <t>121-180</t>
  </si>
  <si>
    <t>181-360</t>
  </si>
  <si>
    <t>360&lt;</t>
  </si>
  <si>
    <t>480</t>
  </si>
  <si>
    <t>ExAjith Dharmathilaka</t>
  </si>
  <si>
    <t>Brandix Apparel Solutions Limited</t>
  </si>
  <si>
    <t>190000674</t>
  </si>
  <si>
    <t/>
  </si>
  <si>
    <t>483</t>
  </si>
  <si>
    <t>Rashmika Wijesinghe</t>
  </si>
  <si>
    <t>Beira Brush (Pvt) Ltd</t>
  </si>
  <si>
    <t>190009748</t>
  </si>
  <si>
    <t>DPL Premier Gloves Ltd</t>
  </si>
  <si>
    <t>190009597</t>
  </si>
  <si>
    <t>Dipped Products PLC</t>
  </si>
  <si>
    <t>190009594</t>
  </si>
  <si>
    <t>Eco Spindles (Pvt) Ltd</t>
  </si>
  <si>
    <t>190009388</t>
  </si>
  <si>
    <t>Ceylon Beverage Can (Pvt) Ltd</t>
  </si>
  <si>
    <t>190009187</t>
  </si>
  <si>
    <t>485</t>
  </si>
  <si>
    <t>Gihan Chamara</t>
  </si>
  <si>
    <t>Promowatch (Pvt) Ltd</t>
  </si>
  <si>
    <t>190009439</t>
  </si>
  <si>
    <t>Monara Creations (Pvt) Ltd</t>
  </si>
  <si>
    <t>190009118</t>
  </si>
  <si>
    <t>Rocell Bathware Ltd</t>
  </si>
  <si>
    <t>190008969</t>
  </si>
  <si>
    <t>Lanka Tiles PLC</t>
  </si>
  <si>
    <t>190005614</t>
  </si>
  <si>
    <t>Fly Adds (Pvt) Ltd</t>
  </si>
  <si>
    <t>190008357</t>
  </si>
  <si>
    <t>This report should be able to filter for,</t>
  </si>
  <si>
    <t>Customer Code</t>
  </si>
  <si>
    <t>ADM Code</t>
  </si>
  <si>
    <t>Team</t>
  </si>
  <si>
    <t>Division</t>
  </si>
  <si>
    <t>Date range</t>
  </si>
  <si>
    <t>Invoice Number</t>
  </si>
  <si>
    <t>4227375446</t>
  </si>
  <si>
    <t>4227375544</t>
  </si>
  <si>
    <t>4227375459</t>
  </si>
  <si>
    <t>4227375460</t>
  </si>
  <si>
    <t>4227375496</t>
  </si>
  <si>
    <t>4227375495</t>
  </si>
  <si>
    <t>4227375557</t>
  </si>
  <si>
    <t>4227375346</t>
  </si>
  <si>
    <t>4227375384</t>
  </si>
  <si>
    <t>4227375469</t>
  </si>
  <si>
    <t>4227375350</t>
  </si>
  <si>
    <t>4227375448</t>
  </si>
  <si>
    <t>4227375431</t>
  </si>
  <si>
    <t>4227375414</t>
  </si>
  <si>
    <t>TEAM</t>
  </si>
  <si>
    <t>DIVISION</t>
  </si>
  <si>
    <t>CONSTRUCTION</t>
  </si>
  <si>
    <t>AUTO</t>
  </si>
  <si>
    <t>RAVINDU</t>
  </si>
  <si>
    <t>RASHMIKA</t>
  </si>
  <si>
    <t>ASHAN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</si>
</sst>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3" borderId="1" xfId="0" applyFill="1" applyBorder="1" applyAlignment="1">
      <alignment vertical="top"/>
    </xf>
    <xf numFmtId="0" fontId="2" fillId="4" borderId="0" xfId="0" applyFont="1" applyFill="1"/>
    <xf numFmtId="0" fontId="3" fillId="0" borderId="0" xfId="0" applyFont="1" applyAlignment="1">
      <alignment horizontal="left" vertical="center"/>
    </xf>
    <xf numFmtId="43" fontId="0" fillId="0" borderId="0" xfId="1" applyFont="1" applyAlignment="1">
      <alignment horizontal="right" vertical="top"/>
    </xf>
    <xf numFmtId="43" fontId="0" fillId="3" borderId="1" xfId="1" applyFont="1" applyFill="1" applyBorder="1" applyAlignment="1">
      <alignment horizontal="right" vertical="top"/>
    </xf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8FE0-F756-421C-A0C9-C1F1526B1B75}">
  <dimension ref="A2:P27"/>
  <sheetViews>
    <sheetView tabSelected="1" topLeftCell="A2" workbookViewId="0">
      <selection activeCell="L8" sqref="L8"/>
    </sheetView>
  </sheetViews>
  <sheetFormatPr defaultRowHeight="14.4" x14ac:dyDescent="0.3"/>
  <cols>
    <col min="2" max="2" width="9.5546875" bestFit="1" customWidth="1"/>
    <col min="4" max="4" width="18.6640625" bestFit="1" customWidth="1"/>
    <col min="5" max="5" width="27.88671875" bestFit="1" customWidth="1"/>
    <col min="6" max="7" width="14.6640625" customWidth="1"/>
    <col min="8" max="8" width="11.21875" bestFit="1" customWidth="1"/>
    <col min="9" max="10" width="10.21875" bestFit="1" customWidth="1"/>
    <col min="11" max="12" width="11.21875" bestFit="1" customWidth="1"/>
    <col min="13" max="15" width="10.21875" bestFit="1" customWidth="1"/>
  </cols>
  <sheetData>
    <row r="2" spans="1:16" x14ac:dyDescent="0.3">
      <c r="C2" t="s">
        <v>41</v>
      </c>
    </row>
    <row r="3" spans="1:16" x14ac:dyDescent="0.3">
      <c r="E3" t="s">
        <v>42</v>
      </c>
    </row>
    <row r="4" spans="1:16" x14ac:dyDescent="0.3">
      <c r="E4" t="s">
        <v>43</v>
      </c>
    </row>
    <row r="5" spans="1:16" x14ac:dyDescent="0.3">
      <c r="E5" t="s">
        <v>44</v>
      </c>
    </row>
    <row r="6" spans="1:16" x14ac:dyDescent="0.3">
      <c r="E6" t="s">
        <v>45</v>
      </c>
    </row>
    <row r="7" spans="1:16" x14ac:dyDescent="0.3">
      <c r="E7" s="4" t="s">
        <v>46</v>
      </c>
    </row>
    <row r="10" spans="1:16" x14ac:dyDescent="0.3">
      <c r="A10" s="1" t="s">
        <v>63</v>
      </c>
      <c r="B10" s="1" t="s">
        <v>62</v>
      </c>
      <c r="C10" s="1" t="s">
        <v>0</v>
      </c>
      <c r="D10" s="1" t="s">
        <v>1</v>
      </c>
      <c r="E10" s="1" t="s">
        <v>2</v>
      </c>
      <c r="F10" s="1" t="s">
        <v>3</v>
      </c>
      <c r="G10" s="1" t="s">
        <v>47</v>
      </c>
      <c r="H10" s="1" t="s">
        <v>4</v>
      </c>
      <c r="I10" s="1" t="s">
        <v>5</v>
      </c>
      <c r="J10" s="1" t="s">
        <v>6</v>
      </c>
      <c r="K10" s="1" t="s">
        <v>7</v>
      </c>
      <c r="L10" s="1" t="s">
        <v>8</v>
      </c>
      <c r="M10" s="1" t="s">
        <v>9</v>
      </c>
      <c r="N10" s="1" t="s">
        <v>10</v>
      </c>
      <c r="O10" s="1" t="s">
        <v>11</v>
      </c>
    </row>
    <row r="11" spans="1:16" x14ac:dyDescent="0.3">
      <c r="A11" s="2" t="s">
        <v>64</v>
      </c>
      <c r="B11" s="2" t="s">
        <v>66</v>
      </c>
      <c r="C11" s="2" t="s">
        <v>12</v>
      </c>
      <c r="D11" s="2" t="s">
        <v>13</v>
      </c>
      <c r="E11" s="2" t="s">
        <v>14</v>
      </c>
      <c r="F11" s="2" t="s">
        <v>15</v>
      </c>
      <c r="G11" s="5" t="s">
        <v>49</v>
      </c>
      <c r="H11" s="6">
        <v>55970</v>
      </c>
      <c r="I11" s="6">
        <v>10000</v>
      </c>
      <c r="J11" s="6">
        <f>H11-I11</f>
        <v>45970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8"/>
    </row>
    <row r="12" spans="1:16" x14ac:dyDescent="0.3">
      <c r="A12" s="3" t="s">
        <v>64</v>
      </c>
      <c r="B12" s="3" t="s">
        <v>66</v>
      </c>
      <c r="C12" s="3" t="s">
        <v>12</v>
      </c>
      <c r="D12" s="3" t="s">
        <v>16</v>
      </c>
      <c r="E12" s="3" t="s">
        <v>16</v>
      </c>
      <c r="F12" s="3" t="s">
        <v>16</v>
      </c>
      <c r="G12" s="3"/>
      <c r="H12" s="7">
        <v>55970</v>
      </c>
      <c r="I12" s="7">
        <v>10000</v>
      </c>
      <c r="J12" s="7">
        <v>45970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8"/>
    </row>
    <row r="13" spans="1:16" x14ac:dyDescent="0.3">
      <c r="A13" s="2" t="s">
        <v>65</v>
      </c>
      <c r="B13" s="2" t="s">
        <v>67</v>
      </c>
      <c r="C13" s="2" t="s">
        <v>17</v>
      </c>
      <c r="D13" s="2" t="s">
        <v>18</v>
      </c>
      <c r="E13" s="2" t="s">
        <v>19</v>
      </c>
      <c r="F13" s="2" t="s">
        <v>20</v>
      </c>
      <c r="G13" s="5" t="s">
        <v>48</v>
      </c>
      <c r="H13" s="6">
        <v>14160</v>
      </c>
      <c r="I13" s="6">
        <v>0</v>
      </c>
      <c r="J13" s="6">
        <v>0</v>
      </c>
      <c r="K13" s="6">
        <f>H13</f>
        <v>14160</v>
      </c>
      <c r="L13" s="6">
        <v>0</v>
      </c>
      <c r="M13" s="6">
        <v>0</v>
      </c>
      <c r="N13" s="6">
        <v>0</v>
      </c>
      <c r="O13" s="6">
        <v>0</v>
      </c>
      <c r="P13" s="8"/>
    </row>
    <row r="14" spans="1:16" x14ac:dyDescent="0.3">
      <c r="A14" s="2" t="s">
        <v>65</v>
      </c>
      <c r="B14" s="2" t="s">
        <v>67</v>
      </c>
      <c r="C14" s="2" t="s">
        <v>17</v>
      </c>
      <c r="D14" s="2" t="s">
        <v>18</v>
      </c>
      <c r="E14" s="2" t="s">
        <v>21</v>
      </c>
      <c r="F14" s="2" t="s">
        <v>22</v>
      </c>
      <c r="G14" s="5" t="s">
        <v>50</v>
      </c>
      <c r="H14" s="6">
        <v>5200</v>
      </c>
      <c r="I14" s="6">
        <v>0</v>
      </c>
      <c r="J14" s="6">
        <v>0</v>
      </c>
      <c r="K14" s="6">
        <v>0</v>
      </c>
      <c r="L14" s="6">
        <f>H14</f>
        <v>5200</v>
      </c>
      <c r="M14" s="6">
        <v>0</v>
      </c>
      <c r="N14" s="6">
        <v>0</v>
      </c>
      <c r="O14" s="6">
        <v>0</v>
      </c>
      <c r="P14" s="8"/>
    </row>
    <row r="15" spans="1:16" x14ac:dyDescent="0.3">
      <c r="A15" s="2" t="s">
        <v>65</v>
      </c>
      <c r="B15" s="2" t="s">
        <v>67</v>
      </c>
      <c r="C15" s="2" t="s">
        <v>17</v>
      </c>
      <c r="D15" s="2" t="s">
        <v>18</v>
      </c>
      <c r="E15" s="2" t="s">
        <v>21</v>
      </c>
      <c r="F15" s="2" t="s">
        <v>22</v>
      </c>
      <c r="G15" s="5" t="s">
        <v>54</v>
      </c>
      <c r="H15" s="6">
        <v>10000</v>
      </c>
      <c r="I15" s="6">
        <v>0</v>
      </c>
      <c r="J15" s="6">
        <v>0</v>
      </c>
      <c r="K15" s="6">
        <v>0</v>
      </c>
      <c r="L15" s="6">
        <f>H15</f>
        <v>10000</v>
      </c>
      <c r="M15" s="6">
        <v>0</v>
      </c>
      <c r="N15" s="6">
        <v>0</v>
      </c>
      <c r="O15" s="6">
        <v>0</v>
      </c>
      <c r="P15" s="8"/>
    </row>
    <row r="16" spans="1:16" x14ac:dyDescent="0.3">
      <c r="A16" s="2" t="s">
        <v>65</v>
      </c>
      <c r="B16" s="2" t="s">
        <v>67</v>
      </c>
      <c r="C16" s="2" t="s">
        <v>17</v>
      </c>
      <c r="D16" s="2" t="s">
        <v>18</v>
      </c>
      <c r="E16" s="2" t="s">
        <v>23</v>
      </c>
      <c r="F16" s="2" t="s">
        <v>24</v>
      </c>
      <c r="G16" s="5" t="s">
        <v>51</v>
      </c>
      <c r="H16" s="6">
        <v>35850</v>
      </c>
      <c r="I16" s="6">
        <v>0</v>
      </c>
      <c r="J16" s="6">
        <v>0</v>
      </c>
      <c r="K16" s="6">
        <v>5000</v>
      </c>
      <c r="L16" s="6">
        <f>H16-M16-K16</f>
        <v>15850</v>
      </c>
      <c r="M16" s="6">
        <v>15000</v>
      </c>
      <c r="N16" s="6">
        <v>0</v>
      </c>
      <c r="O16" s="6">
        <v>0</v>
      </c>
      <c r="P16" s="8"/>
    </row>
    <row r="17" spans="1:16" x14ac:dyDescent="0.3">
      <c r="A17" s="2" t="s">
        <v>65</v>
      </c>
      <c r="B17" s="2" t="s">
        <v>67</v>
      </c>
      <c r="C17" s="2" t="s">
        <v>17</v>
      </c>
      <c r="D17" s="2" t="s">
        <v>18</v>
      </c>
      <c r="E17" s="2" t="s">
        <v>25</v>
      </c>
      <c r="F17" s="2" t="s">
        <v>26</v>
      </c>
      <c r="G17" s="5" t="s">
        <v>52</v>
      </c>
      <c r="H17" s="6">
        <v>46800</v>
      </c>
      <c r="I17" s="6">
        <v>0</v>
      </c>
      <c r="J17" s="6">
        <v>0</v>
      </c>
      <c r="K17" s="6">
        <v>0</v>
      </c>
      <c r="L17" s="6">
        <v>0</v>
      </c>
      <c r="M17" s="6">
        <v>46800</v>
      </c>
      <c r="N17" s="6">
        <v>0</v>
      </c>
      <c r="O17" s="6">
        <v>0</v>
      </c>
      <c r="P17" s="8"/>
    </row>
    <row r="18" spans="1:16" x14ac:dyDescent="0.3">
      <c r="A18" s="2" t="s">
        <v>65</v>
      </c>
      <c r="B18" s="2" t="s">
        <v>67</v>
      </c>
      <c r="C18" s="2" t="s">
        <v>17</v>
      </c>
      <c r="D18" s="2" t="s">
        <v>18</v>
      </c>
      <c r="E18" s="2" t="s">
        <v>27</v>
      </c>
      <c r="F18" s="2" t="s">
        <v>28</v>
      </c>
      <c r="G18" s="5" t="s">
        <v>53</v>
      </c>
      <c r="H18" s="6">
        <v>24600</v>
      </c>
      <c r="I18" s="6">
        <v>0</v>
      </c>
      <c r="J18" s="6">
        <v>4600</v>
      </c>
      <c r="K18" s="6">
        <v>20000</v>
      </c>
      <c r="L18" s="6">
        <v>0</v>
      </c>
      <c r="M18" s="6">
        <v>0</v>
      </c>
      <c r="N18" s="6">
        <v>0</v>
      </c>
      <c r="O18" s="6">
        <v>0</v>
      </c>
      <c r="P18" s="8"/>
    </row>
    <row r="19" spans="1:16" x14ac:dyDescent="0.3">
      <c r="A19" s="3" t="s">
        <v>65</v>
      </c>
      <c r="B19" s="3" t="s">
        <v>67</v>
      </c>
      <c r="C19" s="3" t="s">
        <v>17</v>
      </c>
      <c r="D19" s="3" t="s">
        <v>16</v>
      </c>
      <c r="E19" s="3" t="s">
        <v>16</v>
      </c>
      <c r="F19" s="3" t="s">
        <v>16</v>
      </c>
      <c r="G19" s="3"/>
      <c r="H19" s="7">
        <f>SUM(H13:H18)</f>
        <v>136610</v>
      </c>
      <c r="I19" s="7">
        <f>SUM(I13:I18)</f>
        <v>0</v>
      </c>
      <c r="J19" s="7">
        <f>SUM(J13:J18)</f>
        <v>4600</v>
      </c>
      <c r="K19" s="7">
        <f t="shared" ref="K19:O19" si="0">SUM(K13:K18)</f>
        <v>39160</v>
      </c>
      <c r="L19" s="7">
        <f t="shared" si="0"/>
        <v>31050</v>
      </c>
      <c r="M19" s="7">
        <f t="shared" si="0"/>
        <v>61800</v>
      </c>
      <c r="N19" s="7">
        <f t="shared" si="0"/>
        <v>0</v>
      </c>
      <c r="O19" s="7">
        <f t="shared" si="0"/>
        <v>0</v>
      </c>
      <c r="P19" s="8"/>
    </row>
    <row r="20" spans="1:16" x14ac:dyDescent="0.3">
      <c r="A20" s="2" t="s">
        <v>65</v>
      </c>
      <c r="B20" s="2" t="s">
        <v>68</v>
      </c>
      <c r="C20" s="2" t="s">
        <v>29</v>
      </c>
      <c r="D20" s="2" t="s">
        <v>30</v>
      </c>
      <c r="E20" s="2" t="s">
        <v>31</v>
      </c>
      <c r="F20" s="2" t="s">
        <v>32</v>
      </c>
      <c r="G20" s="5" t="s">
        <v>55</v>
      </c>
      <c r="H20" s="6">
        <v>264960</v>
      </c>
      <c r="I20" s="6">
        <v>0</v>
      </c>
      <c r="J20" s="6">
        <v>0</v>
      </c>
      <c r="K20" s="6">
        <v>64960</v>
      </c>
      <c r="L20" s="6">
        <v>200000</v>
      </c>
      <c r="M20" s="6">
        <v>0</v>
      </c>
      <c r="N20" s="6">
        <v>0</v>
      </c>
      <c r="O20" s="6">
        <v>0</v>
      </c>
      <c r="P20" s="8"/>
    </row>
    <row r="21" spans="1:16" x14ac:dyDescent="0.3">
      <c r="A21" s="2" t="s">
        <v>65</v>
      </c>
      <c r="B21" s="2" t="s">
        <v>68</v>
      </c>
      <c r="C21" s="2" t="s">
        <v>29</v>
      </c>
      <c r="D21" s="2" t="s">
        <v>30</v>
      </c>
      <c r="E21" s="2" t="s">
        <v>33</v>
      </c>
      <c r="F21" s="2" t="s">
        <v>34</v>
      </c>
      <c r="G21" s="5" t="s">
        <v>56</v>
      </c>
      <c r="H21" s="6">
        <v>212329</v>
      </c>
      <c r="I21" s="6">
        <v>0</v>
      </c>
      <c r="J21" s="6">
        <v>10000</v>
      </c>
      <c r="K21" s="6">
        <v>200000</v>
      </c>
      <c r="L21" s="6">
        <v>2329</v>
      </c>
      <c r="M21" s="6">
        <v>0</v>
      </c>
      <c r="N21" s="6">
        <v>0</v>
      </c>
      <c r="O21" s="6">
        <v>0</v>
      </c>
      <c r="P21" s="8"/>
    </row>
    <row r="22" spans="1:16" x14ac:dyDescent="0.3">
      <c r="A22" s="2" t="s">
        <v>65</v>
      </c>
      <c r="B22" s="2" t="s">
        <v>68</v>
      </c>
      <c r="C22" s="2" t="s">
        <v>29</v>
      </c>
      <c r="D22" s="2" t="s">
        <v>30</v>
      </c>
      <c r="E22" s="2" t="s">
        <v>35</v>
      </c>
      <c r="F22" s="2" t="s">
        <v>36</v>
      </c>
      <c r="G22" s="5" t="s">
        <v>57</v>
      </c>
      <c r="H22" s="6">
        <v>5980</v>
      </c>
      <c r="I22" s="6">
        <v>0</v>
      </c>
      <c r="J22" s="6">
        <v>0</v>
      </c>
      <c r="K22" s="6">
        <v>0</v>
      </c>
      <c r="L22" s="6">
        <v>0</v>
      </c>
      <c r="M22" s="6">
        <f>H22</f>
        <v>5980</v>
      </c>
      <c r="N22" s="6">
        <v>0</v>
      </c>
      <c r="O22" s="6">
        <v>0</v>
      </c>
      <c r="P22" s="8"/>
    </row>
    <row r="23" spans="1:16" x14ac:dyDescent="0.3">
      <c r="A23" s="2" t="s">
        <v>65</v>
      </c>
      <c r="B23" s="2" t="s">
        <v>68</v>
      </c>
      <c r="C23" s="2" t="s">
        <v>29</v>
      </c>
      <c r="D23" s="2" t="s">
        <v>30</v>
      </c>
      <c r="E23" s="2" t="s">
        <v>35</v>
      </c>
      <c r="F23" s="2" t="s">
        <v>36</v>
      </c>
      <c r="G23" s="5" t="s">
        <v>58</v>
      </c>
      <c r="H23" s="6">
        <v>90000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f>H23</f>
        <v>90000</v>
      </c>
      <c r="O23" s="6">
        <v>0</v>
      </c>
      <c r="P23" s="8"/>
    </row>
    <row r="24" spans="1:16" x14ac:dyDescent="0.3">
      <c r="A24" s="2" t="s">
        <v>65</v>
      </c>
      <c r="B24" s="2" t="s">
        <v>68</v>
      </c>
      <c r="C24" s="2" t="s">
        <v>29</v>
      </c>
      <c r="D24" s="2" t="s">
        <v>30</v>
      </c>
      <c r="E24" s="2" t="s">
        <v>35</v>
      </c>
      <c r="F24" s="2" t="s">
        <v>36</v>
      </c>
      <c r="G24" s="5" t="s">
        <v>59</v>
      </c>
      <c r="H24" s="6">
        <v>30025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f>H24</f>
        <v>30025</v>
      </c>
      <c r="P24" s="8"/>
    </row>
    <row r="25" spans="1:16" x14ac:dyDescent="0.3">
      <c r="A25" s="2" t="s">
        <v>65</v>
      </c>
      <c r="B25" s="2" t="s">
        <v>68</v>
      </c>
      <c r="C25" s="2" t="s">
        <v>29</v>
      </c>
      <c r="D25" s="2" t="s">
        <v>30</v>
      </c>
      <c r="E25" s="2" t="s">
        <v>37</v>
      </c>
      <c r="F25" s="2" t="s">
        <v>38</v>
      </c>
      <c r="G25" s="5" t="s">
        <v>60</v>
      </c>
      <c r="H25" s="6">
        <v>3105</v>
      </c>
      <c r="I25" s="6">
        <v>0</v>
      </c>
      <c r="J25" s="6">
        <v>0</v>
      </c>
      <c r="K25" s="6">
        <v>0</v>
      </c>
      <c r="L25" s="6">
        <f>H25</f>
        <v>3105</v>
      </c>
      <c r="M25" s="6">
        <v>0</v>
      </c>
      <c r="N25" s="6">
        <v>0</v>
      </c>
      <c r="O25" s="6">
        <v>0</v>
      </c>
      <c r="P25" s="8"/>
    </row>
    <row r="26" spans="1:16" x14ac:dyDescent="0.3">
      <c r="A26" s="2" t="s">
        <v>65</v>
      </c>
      <c r="B26" s="2" t="s">
        <v>68</v>
      </c>
      <c r="C26" s="2" t="s">
        <v>29</v>
      </c>
      <c r="D26" s="2" t="s">
        <v>30</v>
      </c>
      <c r="E26" s="2" t="s">
        <v>39</v>
      </c>
      <c r="F26" s="2" t="s">
        <v>40</v>
      </c>
      <c r="G26" s="5" t="s">
        <v>61</v>
      </c>
      <c r="H26" s="6">
        <v>79350</v>
      </c>
      <c r="I26" s="6">
        <v>0</v>
      </c>
      <c r="J26" s="6">
        <f>H26</f>
        <v>79350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8"/>
    </row>
    <row r="27" spans="1:16" x14ac:dyDescent="0.3">
      <c r="A27" s="3" t="s">
        <v>65</v>
      </c>
      <c r="B27" s="3" t="s">
        <v>68</v>
      </c>
      <c r="C27" s="3" t="s">
        <v>29</v>
      </c>
      <c r="D27" s="3" t="s">
        <v>16</v>
      </c>
      <c r="E27" s="3" t="s">
        <v>16</v>
      </c>
      <c r="F27" s="3" t="s">
        <v>16</v>
      </c>
      <c r="G27" s="3"/>
      <c r="H27" s="7">
        <f>SUM(H20:H26)</f>
        <v>685749</v>
      </c>
      <c r="I27" s="7">
        <f>SUM(I20:I26)</f>
        <v>0</v>
      </c>
      <c r="J27" s="7">
        <f>SUM(J20:J26)</f>
        <v>89350</v>
      </c>
      <c r="K27" s="7">
        <f>SUM(K20:K26)</f>
        <v>264960</v>
      </c>
      <c r="L27" s="7">
        <f>SUM(L20:L26)</f>
        <v>205434</v>
      </c>
      <c r="M27" s="7">
        <f>SUM(M20:M26)</f>
        <v>5980</v>
      </c>
      <c r="N27" s="7">
        <f>SUM(N20:N26)</f>
        <v>90000</v>
      </c>
      <c r="O27" s="7">
        <f>SUM(O20:O26)</f>
        <v>30025</v>
      </c>
      <c r="P2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Fraser, Leema</dc:creator>
  <cp:lastModifiedBy>Fraser, Leema</cp:lastModifiedBy>
  <dcterms:created xsi:type="dcterms:W3CDTF">2025-12-10T09:41:11Z</dcterms:created>
  <dcterms:modified xsi:type="dcterms:W3CDTF">2025-12-10T09:54:26Z</dcterms:modified>
</cp:coreProperties>
</file>