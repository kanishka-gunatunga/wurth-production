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eema\Desktop\Work 2025\PROJECTS_2025\COLLECTION_PORTAL\EXPORT_ REPORTS\"/>
    </mc:Choice>
  </mc:AlternateContent>
  <xr:revisionPtr revIDLastSave="0" documentId="13_ncr:1_{364DEC77-948E-48BD-AAB7-45E86B09661D}" xr6:coauthVersionLast="47" xr6:coauthVersionMax="47" xr10:uidLastSave="{00000000-0000-0000-0000-000000000000}"/>
  <bookViews>
    <workbookView xWindow="-108" yWindow="-108" windowWidth="23256" windowHeight="12456" xr2:uid="{EF9849E1-05F1-4E1A-9331-F642B134621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23" i="1" l="1"/>
  <c r="Q23" i="1"/>
  <c r="P23" i="1"/>
  <c r="O23" i="1"/>
  <c r="N23" i="1"/>
  <c r="M23" i="1"/>
  <c r="L23" i="1"/>
  <c r="K23" i="1"/>
  <c r="J23" i="1"/>
</calcChain>
</file>

<file path=xl/sharedStrings.xml><?xml version="1.0" encoding="utf-8"?>
<sst xmlns="http://schemas.openxmlformats.org/spreadsheetml/2006/main" count="120" uniqueCount="55">
  <si>
    <t>Customer</t>
  </si>
  <si>
    <t>Sales Rep.</t>
  </si>
  <si>
    <t>Document Number</t>
  </si>
  <si>
    <t>Reference</t>
  </si>
  <si>
    <t>Document Date</t>
  </si>
  <si>
    <t>Arrears after net due date</t>
  </si>
  <si>
    <t>Local Crcy Doc Amount</t>
  </si>
  <si>
    <t>Total of Intervals</t>
  </si>
  <si>
    <t>From: 0  To: 29</t>
  </si>
  <si>
    <t>From: 30  To: 59</t>
  </si>
  <si>
    <t>From: 60  To: 89</t>
  </si>
  <si>
    <t>From: 90  To: 119</t>
  </si>
  <si>
    <t>From: 120  To: 179</t>
  </si>
  <si>
    <t>From: 180  To: 359</t>
  </si>
  <si>
    <t>From: 360  To: 9999</t>
  </si>
  <si>
    <t>Text</t>
  </si>
  <si>
    <t>Isuru Motors</t>
  </si>
  <si>
    <t>190018311</t>
  </si>
  <si>
    <t>4227357275</t>
  </si>
  <si>
    <t>2000038324</t>
  </si>
  <si>
    <t>274240</t>
  </si>
  <si>
    <t>4227347968</t>
  </si>
  <si>
    <t/>
  </si>
  <si>
    <t>Thutheepan Welding Shop</t>
  </si>
  <si>
    <t>190018719</t>
  </si>
  <si>
    <t>4227365858</t>
  </si>
  <si>
    <t>Wickramasigha Oil Mart</t>
  </si>
  <si>
    <t>190018520</t>
  </si>
  <si>
    <t>4227358998</t>
  </si>
  <si>
    <t>"Asiri" Building Construction</t>
  </si>
  <si>
    <t>190019291</t>
  </si>
  <si>
    <t>4227371848</t>
  </si>
  <si>
    <t>4227373382</t>
  </si>
  <si>
    <t>"Gamini" Shop</t>
  </si>
  <si>
    <t>190019398</t>
  </si>
  <si>
    <t>4227372488</t>
  </si>
  <si>
    <t>"Niwahana" Landscaping Design</t>
  </si>
  <si>
    <t>190018346</t>
  </si>
  <si>
    <t xml:space="preserve">Customer Name </t>
  </si>
  <si>
    <t>Team</t>
  </si>
  <si>
    <t>Division</t>
  </si>
  <si>
    <t>Ranga</t>
  </si>
  <si>
    <t>Auto</t>
  </si>
  <si>
    <t>Samith</t>
  </si>
  <si>
    <t>Isuru</t>
  </si>
  <si>
    <t>Ashan</t>
  </si>
  <si>
    <t>Rashmika</t>
  </si>
  <si>
    <t>Trade</t>
  </si>
  <si>
    <t>Metal</t>
  </si>
  <si>
    <t>Rtn Chq-123456</t>
  </si>
  <si>
    <t>None representable - Account closed</t>
  </si>
  <si>
    <t>This report should be able to filter for,</t>
  </si>
  <si>
    <t>Customer Code</t>
  </si>
  <si>
    <t>ADM Code</t>
  </si>
  <si>
    <t>Date range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</si>
</sst>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5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6">
    <xf numFmtId="0" fontId="0" fillId="0" borderId="0" xfId="0"/>
    <xf numFmtId="0" fontId="0" fillId="2" borderId="1" xfId="0" applyFill="1" applyBorder="1" applyAlignment="1">
      <alignment vertical="top"/>
    </xf>
    <xf numFmtId="0" fontId="0" fillId="2" borderId="1" xfId="0" applyFill="1" applyBorder="1" applyAlignment="1">
      <alignment vertical="top" wrapText="1"/>
    </xf>
    <xf numFmtId="0" fontId="0" fillId="0" borderId="0" xfId="0" applyAlignment="1">
      <alignment vertical="top"/>
    </xf>
    <xf numFmtId="14" fontId="0" fillId="0" borderId="0" xfId="0" applyNumberFormat="1" applyAlignment="1">
      <alignment horizontal="right" vertical="top"/>
    </xf>
    <xf numFmtId="3" fontId="0" fillId="0" borderId="0" xfId="0" applyNumberFormat="1" applyAlignment="1">
      <alignment horizontal="right" vertical="top"/>
    </xf>
    <xf numFmtId="0" fontId="0" fillId="3" borderId="1" xfId="0" applyFill="1" applyBorder="1" applyAlignment="1">
      <alignment vertical="top"/>
    </xf>
    <xf numFmtId="14" fontId="0" fillId="3" borderId="1" xfId="0" applyNumberFormat="1" applyFill="1" applyBorder="1" applyAlignment="1">
      <alignment horizontal="right" vertical="top"/>
    </xf>
    <xf numFmtId="3" fontId="0" fillId="3" borderId="1" xfId="0" applyNumberFormat="1" applyFill="1" applyBorder="1" applyAlignment="1">
      <alignment horizontal="right" vertical="top"/>
    </xf>
    <xf numFmtId="0" fontId="0" fillId="4" borderId="1" xfId="0" applyFill="1" applyBorder="1" applyAlignment="1">
      <alignment vertical="top"/>
    </xf>
    <xf numFmtId="14" fontId="0" fillId="4" borderId="1" xfId="0" applyNumberFormat="1" applyFill="1" applyBorder="1" applyAlignment="1">
      <alignment horizontal="right" vertical="top"/>
    </xf>
    <xf numFmtId="3" fontId="0" fillId="4" borderId="1" xfId="0" applyNumberFormat="1" applyFill="1" applyBorder="1" applyAlignment="1">
      <alignment horizontal="right" vertical="top"/>
    </xf>
    <xf numFmtId="43" fontId="0" fillId="0" borderId="0" xfId="1" applyFont="1" applyAlignment="1">
      <alignment horizontal="right" vertical="top"/>
    </xf>
    <xf numFmtId="43" fontId="0" fillId="3" borderId="1" xfId="1" applyFont="1" applyFill="1" applyBorder="1" applyAlignment="1">
      <alignment horizontal="right" vertical="top"/>
    </xf>
    <xf numFmtId="43" fontId="2" fillId="4" borderId="1" xfId="1" applyFont="1" applyFill="1" applyBorder="1" applyAlignment="1">
      <alignment horizontal="right" vertical="top"/>
    </xf>
    <xf numFmtId="0" fontId="2" fillId="5" borderId="0" xfId="0" applyFont="1" applyFill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EA718F-EEE6-4444-8EE8-5C2EADDB62CE}">
  <dimension ref="A1:S23"/>
  <sheetViews>
    <sheetView tabSelected="1" workbookViewId="0">
      <selection activeCell="D8" sqref="D8"/>
    </sheetView>
  </sheetViews>
  <sheetFormatPr defaultRowHeight="14.4" x14ac:dyDescent="0.3"/>
  <cols>
    <col min="1" max="1" width="37" bestFit="1" customWidth="1"/>
    <col min="2" max="2" width="10" bestFit="1" customWidth="1"/>
    <col min="3" max="3" width="9.33203125" bestFit="1" customWidth="1"/>
    <col min="4" max="5" width="9.33203125" customWidth="1"/>
    <col min="6" max="6" width="16.33203125" bestFit="1" customWidth="1"/>
    <col min="7" max="7" width="19.21875" bestFit="1" customWidth="1"/>
    <col min="8" max="8" width="13.5546875" bestFit="1" customWidth="1"/>
    <col min="9" max="9" width="7.88671875" bestFit="1" customWidth="1"/>
    <col min="10" max="10" width="19.6640625" bestFit="1" customWidth="1"/>
    <col min="11" max="11" width="14" bestFit="1" customWidth="1"/>
    <col min="12" max="14" width="13.77734375" bestFit="1" customWidth="1"/>
    <col min="15" max="15" width="14.6640625" bestFit="1" customWidth="1"/>
    <col min="16" max="17" width="15.6640625" bestFit="1" customWidth="1"/>
    <col min="18" max="18" width="16.6640625" bestFit="1" customWidth="1"/>
    <col min="19" max="19" width="49" bestFit="1" customWidth="1"/>
  </cols>
  <sheetData>
    <row r="1" spans="1:19" x14ac:dyDescent="0.3">
      <c r="C1" t="s">
        <v>51</v>
      </c>
    </row>
    <row r="2" spans="1:19" x14ac:dyDescent="0.3">
      <c r="E2" t="s">
        <v>52</v>
      </c>
    </row>
    <row r="3" spans="1:19" x14ac:dyDescent="0.3">
      <c r="E3" t="s">
        <v>53</v>
      </c>
    </row>
    <row r="4" spans="1:19" x14ac:dyDescent="0.3">
      <c r="E4" t="s">
        <v>39</v>
      </c>
    </row>
    <row r="5" spans="1:19" x14ac:dyDescent="0.3">
      <c r="E5" t="s">
        <v>40</v>
      </c>
    </row>
    <row r="6" spans="1:19" x14ac:dyDescent="0.3">
      <c r="E6" s="15" t="s">
        <v>54</v>
      </c>
    </row>
    <row r="8" spans="1:19" ht="43.2" x14ac:dyDescent="0.3">
      <c r="A8" s="1" t="s">
        <v>38</v>
      </c>
      <c r="B8" s="1" t="s">
        <v>0</v>
      </c>
      <c r="C8" s="1" t="s">
        <v>1</v>
      </c>
      <c r="D8" s="1" t="s">
        <v>39</v>
      </c>
      <c r="E8" s="1" t="s">
        <v>40</v>
      </c>
      <c r="F8" s="1" t="s">
        <v>2</v>
      </c>
      <c r="G8" s="1" t="s">
        <v>3</v>
      </c>
      <c r="H8" s="1" t="s">
        <v>4</v>
      </c>
      <c r="I8" s="2" t="s">
        <v>5</v>
      </c>
      <c r="J8" s="1" t="s">
        <v>6</v>
      </c>
      <c r="K8" s="1" t="s">
        <v>7</v>
      </c>
      <c r="L8" s="1" t="s">
        <v>8</v>
      </c>
      <c r="M8" s="1" t="s">
        <v>9</v>
      </c>
      <c r="N8" s="1" t="s">
        <v>10</v>
      </c>
      <c r="O8" s="1" t="s">
        <v>11</v>
      </c>
      <c r="P8" s="1" t="s">
        <v>12</v>
      </c>
      <c r="Q8" s="1" t="s">
        <v>13</v>
      </c>
      <c r="R8" s="1" t="s">
        <v>14</v>
      </c>
      <c r="S8" s="1" t="s">
        <v>15</v>
      </c>
    </row>
    <row r="9" spans="1:19" x14ac:dyDescent="0.3">
      <c r="A9" s="3" t="s">
        <v>16</v>
      </c>
      <c r="B9" s="3" t="s">
        <v>17</v>
      </c>
      <c r="C9" s="3">
        <v>651</v>
      </c>
      <c r="D9" s="3" t="s">
        <v>41</v>
      </c>
      <c r="E9" s="3" t="s">
        <v>42</v>
      </c>
      <c r="F9" s="3" t="s">
        <v>18</v>
      </c>
      <c r="G9" s="3" t="s">
        <v>18</v>
      </c>
      <c r="H9" s="4">
        <v>45915</v>
      </c>
      <c r="I9" s="5">
        <v>76</v>
      </c>
      <c r="J9" s="12">
        <v>21990.48</v>
      </c>
      <c r="K9" s="12">
        <v>21990.48</v>
      </c>
      <c r="L9" s="12">
        <v>0</v>
      </c>
      <c r="M9" s="12">
        <v>0</v>
      </c>
      <c r="N9" s="12">
        <v>21990.48</v>
      </c>
      <c r="O9" s="12">
        <v>0</v>
      </c>
      <c r="P9" s="12">
        <v>0</v>
      </c>
      <c r="Q9" s="12">
        <v>0</v>
      </c>
      <c r="R9" s="12">
        <v>0</v>
      </c>
      <c r="S9" s="3"/>
    </row>
    <row r="10" spans="1:19" x14ac:dyDescent="0.3">
      <c r="A10" s="3" t="s">
        <v>16</v>
      </c>
      <c r="B10" s="3" t="s">
        <v>17</v>
      </c>
      <c r="C10" s="3">
        <v>651</v>
      </c>
      <c r="D10" s="3" t="s">
        <v>41</v>
      </c>
      <c r="E10" s="3" t="s">
        <v>42</v>
      </c>
      <c r="F10" s="3" t="s">
        <v>19</v>
      </c>
      <c r="G10" s="3" t="s">
        <v>20</v>
      </c>
      <c r="H10" s="4">
        <v>45985</v>
      </c>
      <c r="I10" s="5">
        <v>6</v>
      </c>
      <c r="J10" s="12">
        <v>-19395</v>
      </c>
      <c r="K10" s="12">
        <v>-19395</v>
      </c>
      <c r="L10" s="12">
        <v>-19395</v>
      </c>
      <c r="M10" s="12">
        <v>0</v>
      </c>
      <c r="N10" s="12">
        <v>0</v>
      </c>
      <c r="O10" s="12">
        <v>0</v>
      </c>
      <c r="P10" s="12">
        <v>0</v>
      </c>
      <c r="Q10" s="12">
        <v>0</v>
      </c>
      <c r="R10" s="12">
        <v>0</v>
      </c>
      <c r="S10" s="3" t="s">
        <v>21</v>
      </c>
    </row>
    <row r="11" spans="1:19" x14ac:dyDescent="0.3">
      <c r="A11" s="6" t="s">
        <v>22</v>
      </c>
      <c r="B11" s="6" t="s">
        <v>17</v>
      </c>
      <c r="C11" s="6">
        <v>651</v>
      </c>
      <c r="D11" s="6" t="s">
        <v>41</v>
      </c>
      <c r="E11" s="6" t="s">
        <v>42</v>
      </c>
      <c r="F11" s="6" t="s">
        <v>22</v>
      </c>
      <c r="G11" s="6" t="s">
        <v>22</v>
      </c>
      <c r="H11" s="7"/>
      <c r="I11" s="8"/>
      <c r="J11" s="13">
        <v>2595.48</v>
      </c>
      <c r="K11" s="13">
        <v>2595.48</v>
      </c>
      <c r="L11" s="13">
        <v>-19395</v>
      </c>
      <c r="M11" s="13">
        <v>0</v>
      </c>
      <c r="N11" s="13">
        <v>21990.48</v>
      </c>
      <c r="O11" s="13">
        <v>0</v>
      </c>
      <c r="P11" s="13">
        <v>0</v>
      </c>
      <c r="Q11" s="13">
        <v>0</v>
      </c>
      <c r="R11" s="13">
        <v>0</v>
      </c>
      <c r="S11" s="6" t="s">
        <v>22</v>
      </c>
    </row>
    <row r="12" spans="1:19" x14ac:dyDescent="0.3">
      <c r="A12" s="3" t="s">
        <v>23</v>
      </c>
      <c r="B12" s="3" t="s">
        <v>24</v>
      </c>
      <c r="C12" s="3">
        <v>647</v>
      </c>
      <c r="D12" s="3" t="s">
        <v>43</v>
      </c>
      <c r="E12" s="3" t="s">
        <v>42</v>
      </c>
      <c r="F12" s="3" t="s">
        <v>25</v>
      </c>
      <c r="G12" s="3" t="s">
        <v>25</v>
      </c>
      <c r="H12" s="4">
        <v>45955</v>
      </c>
      <c r="I12" s="5">
        <v>36</v>
      </c>
      <c r="J12" s="12">
        <v>9499</v>
      </c>
      <c r="K12" s="12">
        <v>9499</v>
      </c>
      <c r="L12" s="12">
        <v>0</v>
      </c>
      <c r="M12" s="12">
        <v>9499</v>
      </c>
      <c r="N12" s="12">
        <v>0</v>
      </c>
      <c r="O12" s="12">
        <v>0</v>
      </c>
      <c r="P12" s="12">
        <v>0</v>
      </c>
      <c r="Q12" s="12">
        <v>0</v>
      </c>
      <c r="R12" s="12">
        <v>0</v>
      </c>
      <c r="S12" s="3"/>
    </row>
    <row r="13" spans="1:19" x14ac:dyDescent="0.3">
      <c r="A13" s="6" t="s">
        <v>22</v>
      </c>
      <c r="B13" s="6" t="s">
        <v>24</v>
      </c>
      <c r="C13" s="6">
        <v>647</v>
      </c>
      <c r="D13" s="6" t="s">
        <v>43</v>
      </c>
      <c r="E13" s="6" t="s">
        <v>42</v>
      </c>
      <c r="F13" s="6" t="s">
        <v>22</v>
      </c>
      <c r="G13" s="6" t="s">
        <v>22</v>
      </c>
      <c r="H13" s="7"/>
      <c r="I13" s="8"/>
      <c r="J13" s="13">
        <v>9499</v>
      </c>
      <c r="K13" s="13">
        <v>9499</v>
      </c>
      <c r="L13" s="13">
        <v>0</v>
      </c>
      <c r="M13" s="13">
        <v>9499</v>
      </c>
      <c r="N13" s="13">
        <v>0</v>
      </c>
      <c r="O13" s="13">
        <v>0</v>
      </c>
      <c r="P13" s="13">
        <v>0</v>
      </c>
      <c r="Q13" s="13">
        <v>0</v>
      </c>
      <c r="R13" s="13">
        <v>0</v>
      </c>
      <c r="S13" s="6" t="s">
        <v>22</v>
      </c>
    </row>
    <row r="14" spans="1:19" x14ac:dyDescent="0.3">
      <c r="A14" s="3" t="s">
        <v>26</v>
      </c>
      <c r="B14" s="3" t="s">
        <v>27</v>
      </c>
      <c r="C14" s="3">
        <v>663</v>
      </c>
      <c r="D14" s="3" t="s">
        <v>44</v>
      </c>
      <c r="E14" s="3" t="s">
        <v>47</v>
      </c>
      <c r="F14" s="3" t="s">
        <v>28</v>
      </c>
      <c r="G14" s="3" t="s">
        <v>28</v>
      </c>
      <c r="H14" s="4">
        <v>45921</v>
      </c>
      <c r="I14" s="5">
        <v>70</v>
      </c>
      <c r="J14" s="12">
        <v>14537.6</v>
      </c>
      <c r="K14" s="12">
        <v>0.6</v>
      </c>
      <c r="L14" s="12">
        <v>0</v>
      </c>
      <c r="M14" s="12">
        <v>0</v>
      </c>
      <c r="N14" s="12">
        <v>0.6</v>
      </c>
      <c r="O14" s="12">
        <v>0</v>
      </c>
      <c r="P14" s="12">
        <v>0</v>
      </c>
      <c r="Q14" s="12">
        <v>0</v>
      </c>
      <c r="R14" s="12">
        <v>0</v>
      </c>
      <c r="S14" s="3"/>
    </row>
    <row r="15" spans="1:19" x14ac:dyDescent="0.3">
      <c r="A15" s="6" t="s">
        <v>22</v>
      </c>
      <c r="B15" s="6" t="s">
        <v>27</v>
      </c>
      <c r="C15" s="6">
        <v>663</v>
      </c>
      <c r="D15" s="6" t="s">
        <v>44</v>
      </c>
      <c r="E15" s="6" t="s">
        <v>47</v>
      </c>
      <c r="F15" s="6" t="s">
        <v>22</v>
      </c>
      <c r="G15" s="6" t="s">
        <v>22</v>
      </c>
      <c r="H15" s="7"/>
      <c r="I15" s="8"/>
      <c r="J15" s="13">
        <v>14537.6</v>
      </c>
      <c r="K15" s="13">
        <v>0.6</v>
      </c>
      <c r="L15" s="13">
        <v>0</v>
      </c>
      <c r="M15" s="13">
        <v>0</v>
      </c>
      <c r="N15" s="13">
        <v>0.6</v>
      </c>
      <c r="O15" s="13">
        <v>0</v>
      </c>
      <c r="P15" s="13">
        <v>0</v>
      </c>
      <c r="Q15" s="13">
        <v>0</v>
      </c>
      <c r="R15" s="13">
        <v>0</v>
      </c>
      <c r="S15" s="6" t="s">
        <v>22</v>
      </c>
    </row>
    <row r="16" spans="1:19" x14ac:dyDescent="0.3">
      <c r="A16" s="3" t="s">
        <v>29</v>
      </c>
      <c r="B16" s="3" t="s">
        <v>30</v>
      </c>
      <c r="C16" s="3">
        <v>646</v>
      </c>
      <c r="D16" s="3" t="s">
        <v>44</v>
      </c>
      <c r="E16" s="3" t="s">
        <v>47</v>
      </c>
      <c r="F16" s="3" t="s">
        <v>31</v>
      </c>
      <c r="G16" s="3" t="s">
        <v>31</v>
      </c>
      <c r="H16" s="4">
        <v>45982</v>
      </c>
      <c r="I16" s="5">
        <v>9</v>
      </c>
      <c r="J16" s="12">
        <v>121729.98</v>
      </c>
      <c r="K16" s="12">
        <v>121729.98</v>
      </c>
      <c r="L16" s="12">
        <v>121729.98</v>
      </c>
      <c r="M16" s="12">
        <v>0</v>
      </c>
      <c r="N16" s="12">
        <v>0</v>
      </c>
      <c r="O16" s="12">
        <v>0</v>
      </c>
      <c r="P16" s="12">
        <v>0</v>
      </c>
      <c r="Q16" s="12">
        <v>0</v>
      </c>
      <c r="R16" s="12">
        <v>0</v>
      </c>
      <c r="S16" s="3"/>
    </row>
    <row r="17" spans="1:19" x14ac:dyDescent="0.3">
      <c r="A17" s="3" t="s">
        <v>29</v>
      </c>
      <c r="B17" s="3" t="s">
        <v>30</v>
      </c>
      <c r="C17" s="3">
        <v>646</v>
      </c>
      <c r="D17" s="3" t="s">
        <v>44</v>
      </c>
      <c r="E17" s="3" t="s">
        <v>47</v>
      </c>
      <c r="F17" s="3" t="s">
        <v>32</v>
      </c>
      <c r="G17" s="3" t="s">
        <v>32</v>
      </c>
      <c r="H17" s="4">
        <v>45989</v>
      </c>
      <c r="I17" s="5">
        <v>2</v>
      </c>
      <c r="J17" s="12">
        <v>179501.36</v>
      </c>
      <c r="K17" s="12">
        <v>179501.36</v>
      </c>
      <c r="L17" s="12">
        <v>179501.36</v>
      </c>
      <c r="M17" s="12">
        <v>0</v>
      </c>
      <c r="N17" s="12">
        <v>0</v>
      </c>
      <c r="O17" s="12">
        <v>0</v>
      </c>
      <c r="P17" s="12">
        <v>0</v>
      </c>
      <c r="Q17" s="12">
        <v>0</v>
      </c>
      <c r="R17" s="12">
        <v>0</v>
      </c>
      <c r="S17" s="3"/>
    </row>
    <row r="18" spans="1:19" x14ac:dyDescent="0.3">
      <c r="A18" s="6" t="s">
        <v>22</v>
      </c>
      <c r="B18" s="6" t="s">
        <v>30</v>
      </c>
      <c r="C18" s="6">
        <v>646</v>
      </c>
      <c r="D18" s="6" t="s">
        <v>44</v>
      </c>
      <c r="E18" s="6" t="s">
        <v>47</v>
      </c>
      <c r="F18" s="6" t="s">
        <v>22</v>
      </c>
      <c r="G18" s="6" t="s">
        <v>22</v>
      </c>
      <c r="H18" s="7"/>
      <c r="I18" s="8"/>
      <c r="J18" s="13">
        <v>301231.34000000003</v>
      </c>
      <c r="K18" s="13">
        <v>301231.34000000003</v>
      </c>
      <c r="L18" s="13">
        <v>301231.34000000003</v>
      </c>
      <c r="M18" s="13">
        <v>0</v>
      </c>
      <c r="N18" s="13">
        <v>0</v>
      </c>
      <c r="O18" s="13">
        <v>0</v>
      </c>
      <c r="P18" s="13">
        <v>0</v>
      </c>
      <c r="Q18" s="13">
        <v>0</v>
      </c>
      <c r="R18" s="13">
        <v>0</v>
      </c>
      <c r="S18" s="6" t="s">
        <v>22</v>
      </c>
    </row>
    <row r="19" spans="1:19" x14ac:dyDescent="0.3">
      <c r="A19" s="3" t="s">
        <v>33</v>
      </c>
      <c r="B19" s="3" t="s">
        <v>34</v>
      </c>
      <c r="C19" s="3">
        <v>673</v>
      </c>
      <c r="D19" s="3" t="s">
        <v>45</v>
      </c>
      <c r="E19" s="3" t="s">
        <v>48</v>
      </c>
      <c r="F19" s="3" t="s">
        <v>35</v>
      </c>
      <c r="G19" s="3" t="s">
        <v>35</v>
      </c>
      <c r="H19" s="4">
        <v>45986</v>
      </c>
      <c r="I19" s="5">
        <v>5</v>
      </c>
      <c r="J19" s="12">
        <v>17884.47</v>
      </c>
      <c r="K19" s="12">
        <v>17884.47</v>
      </c>
      <c r="L19" s="12">
        <v>17884.47</v>
      </c>
      <c r="M19" s="12">
        <v>0</v>
      </c>
      <c r="N19" s="12">
        <v>0</v>
      </c>
      <c r="O19" s="12">
        <v>0</v>
      </c>
      <c r="P19" s="12">
        <v>0</v>
      </c>
      <c r="Q19" s="12">
        <v>0</v>
      </c>
      <c r="R19" s="12">
        <v>0</v>
      </c>
      <c r="S19" s="3"/>
    </row>
    <row r="20" spans="1:19" x14ac:dyDescent="0.3">
      <c r="A20" s="6" t="s">
        <v>22</v>
      </c>
      <c r="B20" s="6" t="s">
        <v>34</v>
      </c>
      <c r="C20" s="6">
        <v>673</v>
      </c>
      <c r="D20" s="6" t="s">
        <v>45</v>
      </c>
      <c r="E20" s="6" t="s">
        <v>48</v>
      </c>
      <c r="F20" s="6" t="s">
        <v>22</v>
      </c>
      <c r="G20" s="6" t="s">
        <v>22</v>
      </c>
      <c r="H20" s="7"/>
      <c r="I20" s="8"/>
      <c r="J20" s="13">
        <v>17884.47</v>
      </c>
      <c r="K20" s="13">
        <v>17884.47</v>
      </c>
      <c r="L20" s="13">
        <v>17884.47</v>
      </c>
      <c r="M20" s="13">
        <v>0</v>
      </c>
      <c r="N20" s="13">
        <v>0</v>
      </c>
      <c r="O20" s="13">
        <v>0</v>
      </c>
      <c r="P20" s="13">
        <v>0</v>
      </c>
      <c r="Q20" s="13">
        <v>0</v>
      </c>
      <c r="R20" s="13">
        <v>0</v>
      </c>
      <c r="S20" s="6" t="s">
        <v>22</v>
      </c>
    </row>
    <row r="21" spans="1:19" x14ac:dyDescent="0.3">
      <c r="A21" s="3" t="s">
        <v>36</v>
      </c>
      <c r="B21" s="3" t="s">
        <v>37</v>
      </c>
      <c r="C21" s="3">
        <v>626</v>
      </c>
      <c r="D21" s="3" t="s">
        <v>46</v>
      </c>
      <c r="E21" s="3" t="s">
        <v>48</v>
      </c>
      <c r="F21" s="3">
        <v>190000125</v>
      </c>
      <c r="G21" s="3" t="s">
        <v>49</v>
      </c>
      <c r="H21" s="4">
        <v>45913</v>
      </c>
      <c r="I21" s="5">
        <v>78</v>
      </c>
      <c r="J21" s="12">
        <v>12097.36</v>
      </c>
      <c r="K21" s="12">
        <v>12097.36</v>
      </c>
      <c r="L21" s="12">
        <v>0</v>
      </c>
      <c r="M21" s="12">
        <v>0</v>
      </c>
      <c r="N21" s="12">
        <v>12097.36</v>
      </c>
      <c r="O21" s="12">
        <v>0</v>
      </c>
      <c r="P21" s="12">
        <v>0</v>
      </c>
      <c r="Q21" s="12">
        <v>0</v>
      </c>
      <c r="R21" s="12">
        <v>0</v>
      </c>
      <c r="S21" s="3" t="s">
        <v>50</v>
      </c>
    </row>
    <row r="22" spans="1:19" x14ac:dyDescent="0.3">
      <c r="A22" s="6" t="s">
        <v>22</v>
      </c>
      <c r="B22" s="6" t="s">
        <v>37</v>
      </c>
      <c r="C22" s="6">
        <v>626</v>
      </c>
      <c r="D22" s="6" t="s">
        <v>46</v>
      </c>
      <c r="E22" s="6" t="s">
        <v>48</v>
      </c>
      <c r="F22" s="6" t="s">
        <v>22</v>
      </c>
      <c r="G22" s="6" t="s">
        <v>22</v>
      </c>
      <c r="H22" s="7"/>
      <c r="I22" s="8"/>
      <c r="J22" s="13">
        <v>12097.36</v>
      </c>
      <c r="K22" s="13">
        <v>12097.36</v>
      </c>
      <c r="L22" s="13">
        <v>0</v>
      </c>
      <c r="M22" s="13">
        <v>0</v>
      </c>
      <c r="N22" s="13">
        <v>12097.36</v>
      </c>
      <c r="O22" s="13">
        <v>0</v>
      </c>
      <c r="P22" s="13">
        <v>0</v>
      </c>
      <c r="Q22" s="13">
        <v>0</v>
      </c>
      <c r="R22" s="13">
        <v>0</v>
      </c>
      <c r="S22" s="6" t="s">
        <v>22</v>
      </c>
    </row>
    <row r="23" spans="1:19" x14ac:dyDescent="0.3">
      <c r="A23" s="9" t="s">
        <v>22</v>
      </c>
      <c r="B23" s="9"/>
      <c r="C23" s="9"/>
      <c r="D23" s="9"/>
      <c r="E23" s="9"/>
      <c r="F23" s="9" t="s">
        <v>22</v>
      </c>
      <c r="G23" s="9" t="s">
        <v>22</v>
      </c>
      <c r="H23" s="10"/>
      <c r="I23" s="11"/>
      <c r="J23" s="14">
        <f>J22+J20+J18+J15+J13+J11</f>
        <v>357845.25</v>
      </c>
      <c r="K23" s="14">
        <f t="shared" ref="K23:R23" si="0">K22+K20+K18+K15+K13+K11</f>
        <v>343308.25</v>
      </c>
      <c r="L23" s="14">
        <f t="shared" si="0"/>
        <v>299720.81000000006</v>
      </c>
      <c r="M23" s="14">
        <f t="shared" si="0"/>
        <v>9499</v>
      </c>
      <c r="N23" s="14">
        <f t="shared" si="0"/>
        <v>34088.44</v>
      </c>
      <c r="O23" s="14">
        <f t="shared" si="0"/>
        <v>0</v>
      </c>
      <c r="P23" s="14">
        <f t="shared" si="0"/>
        <v>0</v>
      </c>
      <c r="Q23" s="14">
        <f t="shared" si="0"/>
        <v>0</v>
      </c>
      <c r="R23" s="14">
        <f t="shared" si="0"/>
        <v>0</v>
      </c>
      <c r="S23" s="9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Fraser, Leema</dc:creator>
  <cp:lastModifiedBy>Fraser, Leema</cp:lastModifiedBy>
  <dcterms:created xsi:type="dcterms:W3CDTF">2025-12-10T09:56:35Z</dcterms:created>
  <dcterms:modified xsi:type="dcterms:W3CDTF">2025-12-10T10:03:03Z</dcterms:modified>
</cp:coreProperties>
</file>