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Ravi\Desktop\Ravi\Mobitel Collection Portal\Reports\"/>
    </mc:Choice>
  </mc:AlternateContent>
  <xr:revisionPtr revIDLastSave="0" documentId="13_ncr:1_{62FFCE62-AEEA-443C-BAB4-C1B8F326BB69}" xr6:coauthVersionLast="47" xr6:coauthVersionMax="47" xr10:uidLastSave="{00000000-0000-0000-0000-000000000000}"/>
  <bookViews>
    <workbookView xWindow="-110" yWindow="-110" windowWidth="19420" windowHeight="10300" firstSheet="1" activeTab="2" xr2:uid="{1D06B01D-BE84-4B85-9DB9-E9545389C41E}"/>
  </bookViews>
  <sheets>
    <sheet name="Collection Reports" sheetId="2" r:id="rId1"/>
    <sheet name="PDCT" sheetId="3" r:id="rId2"/>
    <sheet name="RCS" sheetId="4" r:id="rId3"/>
    <sheet name="PBD" sheetId="5" r:id="rId4"/>
    <sheet name="DMDR" sheetId="8" r:id="rId5"/>
    <sheet name="DCT" sheetId="6" r:id="rId6"/>
    <sheet name="Sheet5" sheetId="7" r:id="rId7"/>
  </sheets>
  <definedNames>
    <definedName name="_xlnm._FilterDatabase" localSheetId="0" hidden="1">'Collection Reports'!$B$3:$F$21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 i="6" l="1"/>
  <c r="D30" i="2"/>
  <c r="F11" i="2"/>
  <c r="F28" i="2"/>
  <c r="F21" i="2"/>
</calcChain>
</file>

<file path=xl/sharedStrings.xml><?xml version="1.0" encoding="utf-8"?>
<sst xmlns="http://schemas.openxmlformats.org/spreadsheetml/2006/main" count="301" uniqueCount="130">
  <si>
    <t>Sales Rep.</t>
  </si>
  <si>
    <t>Sales Rep. Name</t>
  </si>
  <si>
    <t>Customer Name</t>
  </si>
  <si>
    <t>Customer</t>
  </si>
  <si>
    <t>Amount</t>
  </si>
  <si>
    <t>480</t>
  </si>
  <si>
    <t>ExAjith Dharmathilaka</t>
  </si>
  <si>
    <t>Brandix Apparel Solutions Limited</t>
  </si>
  <si>
    <t>190000674</t>
  </si>
  <si>
    <t/>
  </si>
  <si>
    <t>483</t>
  </si>
  <si>
    <t>Rashmika Wijesinghe</t>
  </si>
  <si>
    <t>Beira Brush (Pvt) Ltd</t>
  </si>
  <si>
    <t>190009748</t>
  </si>
  <si>
    <t>DPL Premier Gloves Ltd</t>
  </si>
  <si>
    <t>190009597</t>
  </si>
  <si>
    <t>Dipped Products PLC</t>
  </si>
  <si>
    <t>190009594</t>
  </si>
  <si>
    <t>Eco Spindles (Pvt) Ltd</t>
  </si>
  <si>
    <t>190009388</t>
  </si>
  <si>
    <t>Ceylon Beverage Can (Pvt) Ltd</t>
  </si>
  <si>
    <t>190009187</t>
  </si>
  <si>
    <t>485</t>
  </si>
  <si>
    <t>Gihan Chamara</t>
  </si>
  <si>
    <t>Promowatch (Pvt) Ltd</t>
  </si>
  <si>
    <t>190009439</t>
  </si>
  <si>
    <t>Monara Creations (Pvt) Ltd</t>
  </si>
  <si>
    <t>190009118</t>
  </si>
  <si>
    <t>Rocell Bathware Ltd</t>
  </si>
  <si>
    <t>190008969</t>
  </si>
  <si>
    <t>Lanka Tiles PLC</t>
  </si>
  <si>
    <t>190005614</t>
  </si>
  <si>
    <t>Hammer BTL (Pvt) Ltd</t>
  </si>
  <si>
    <t>190004303</t>
  </si>
  <si>
    <t>Reggee Advertising Service (Pvt) Ltd</t>
  </si>
  <si>
    <t>190000543</t>
  </si>
  <si>
    <t>Midas Safety Lanka (Pvt) Ltd</t>
  </si>
  <si>
    <t>190005611</t>
  </si>
  <si>
    <t>Crimson C S (Pvt ) Ltd</t>
  </si>
  <si>
    <t>190008200</t>
  </si>
  <si>
    <t>Fly Adds (Pvt) Ltd</t>
  </si>
  <si>
    <t>190008357</t>
  </si>
  <si>
    <t>….......</t>
  </si>
  <si>
    <t>Div</t>
  </si>
  <si>
    <t>Team</t>
  </si>
  <si>
    <t>Period ….................</t>
  </si>
  <si>
    <t>Total</t>
  </si>
  <si>
    <t>Summurized  collection Report</t>
  </si>
  <si>
    <t>Team/sub team</t>
  </si>
  <si>
    <t>Collection Report, which includes realised cheques, cash, and fund transfers only (excluding post-dated cheques), and deducts any returned cheques where applicable. This report should be available in both summarised and detailed formats. It should also be accessible Division-wise, Team-wise, Sub-Team-wise, ADM-wise (for one or multiple selected ADMs), and Customer-wise. The report must be retrievable for any given period, such as a date range, month, or year.”</t>
  </si>
  <si>
    <t>Note</t>
  </si>
  <si>
    <t>Mandatory Data Fields</t>
  </si>
  <si>
    <t>ADM Number</t>
  </si>
  <si>
    <t>ADM Name</t>
  </si>
  <si>
    <t>Cheque Number</t>
  </si>
  <si>
    <r>
      <t>Deposit Date</t>
    </r>
    <r>
      <rPr>
        <sz val="11"/>
        <color theme="1"/>
        <rFont val="Aptos Narrow"/>
        <family val="2"/>
        <scheme val="minor"/>
      </rPr>
      <t xml:space="preserve"> </t>
    </r>
    <r>
      <rPr>
        <i/>
        <sz val="11"/>
        <color theme="1"/>
        <rFont val="Aptos Narrow"/>
        <family val="2"/>
        <scheme val="minor"/>
      </rPr>
      <t>(shown in ascending or descending order)</t>
    </r>
  </si>
  <si>
    <t>Cheque Amount</t>
  </si>
  <si>
    <t>Bank</t>
  </si>
  <si>
    <t>Period</t>
  </si>
  <si>
    <t>Division</t>
  </si>
  <si>
    <t>Sub team</t>
  </si>
  <si>
    <t>The Report must be accessible Division-wise, Team-wise, Sub-Team-wise, and ADM-wise, with the ability to select a single ADM or multiple ADMs. It must also be available Customer-wise,  or multiple customers. the report must support period-based filtering,  date range, a selected month, or  year.</t>
  </si>
  <si>
    <t>The above format   can be modified or changed, but all field details must remain mandatory.”</t>
  </si>
  <si>
    <r>
      <t xml:space="preserve">Returned on (Date </t>
    </r>
    <r>
      <rPr>
        <i/>
        <sz val="11"/>
        <color theme="1"/>
        <rFont val="Aptos Narrow"/>
        <family val="2"/>
        <scheme val="minor"/>
      </rPr>
      <t>(shown in ascending or descending order)</t>
    </r>
  </si>
  <si>
    <t>Reason for returned</t>
  </si>
  <si>
    <t>Receipt Date</t>
  </si>
  <si>
    <t>ADM No</t>
  </si>
  <si>
    <t>Customer No</t>
  </si>
  <si>
    <t>Receipt Type (Cash/Cheque)</t>
  </si>
  <si>
    <t>Cheque No (if applicable)</t>
  </si>
  <si>
    <t>Cheque Date</t>
  </si>
  <si>
    <t>Amount (Rs.)</t>
  </si>
  <si>
    <t>Expected Deposit Date</t>
  </si>
  <si>
    <t>Actual Deposit Date</t>
  </si>
  <si>
    <t>Days Delayed</t>
  </si>
  <si>
    <t>Remarks</t>
  </si>
  <si>
    <t>Kasun</t>
  </si>
  <si>
    <t>Auto Tech Ltd</t>
  </si>
  <si>
    <t>Cheque</t>
  </si>
  <si>
    <t>—</t>
  </si>
  <si>
    <t>5 Days</t>
  </si>
  <si>
    <t>Not deposited</t>
  </si>
  <si>
    <t>Amila</t>
  </si>
  <si>
    <t>Sun Lanka Motors</t>
  </si>
  <si>
    <t>Cash</t>
  </si>
  <si>
    <t>7 Days</t>
  </si>
  <si>
    <t>Pending deposit</t>
  </si>
  <si>
    <t>Sahan</t>
  </si>
  <si>
    <t>Deluxe Auto Care</t>
  </si>
  <si>
    <t>6 Days</t>
  </si>
  <si>
    <t>ADM reminder sent</t>
  </si>
  <si>
    <t>Date</t>
  </si>
  <si>
    <t xml:space="preserve">The Un-Deposited Collections Monitoring Report identifies all cash and cheque collections uploaded by ADMs to the app but not yet deposited into the company’s bank accounts. The report highlights delayed, overdue, and missing deposits, enabling us to take timely follow-up actions.  </t>
  </si>
  <si>
    <t>1st</t>
  </si>
  <si>
    <t>2nd</t>
  </si>
  <si>
    <t>3rd</t>
  </si>
  <si>
    <t>4th</t>
  </si>
  <si>
    <t>5th</t>
  </si>
  <si>
    <t>6th</t>
  </si>
  <si>
    <t>7th</t>
  </si>
  <si>
    <t>8th</t>
  </si>
  <si>
    <t>9th</t>
  </si>
  <si>
    <t>10th</t>
  </si>
  <si>
    <t>…</t>
  </si>
  <si>
    <t>Sanjeewa</t>
  </si>
  <si>
    <t>✔</t>
  </si>
  <si>
    <t>✘</t>
  </si>
  <si>
    <t>Pradeep</t>
  </si>
  <si>
    <t>Wasantha</t>
  </si>
  <si>
    <t>Manoj</t>
  </si>
  <si>
    <t>Daily  Collections Tracker- ADM</t>
  </si>
  <si>
    <t>The Returned Cheques Statement must display all cheques returned within the selected period, along with the respective return reasons. The report must also indicate the net returned cheques for the period by excluding any cheques that have subsequently been settled. For each settled cheque, the settlement status and settlement date must be clearly shown.”</t>
  </si>
  <si>
    <t>Remarks for rejection</t>
  </si>
  <si>
    <t>Not in the bank account</t>
  </si>
  <si>
    <t>Deposit amout mismatch</t>
  </si>
  <si>
    <t>Cheque No differs</t>
  </si>
  <si>
    <t xml:space="preserve">Total </t>
  </si>
  <si>
    <t>Total Days</t>
  </si>
  <si>
    <t>Note:</t>
  </si>
  <si>
    <r>
      <t xml:space="preserve">All collections including </t>
    </r>
    <r>
      <rPr>
        <b/>
        <sz val="11"/>
        <color theme="1"/>
        <rFont val="Aptos Narrow"/>
        <family val="2"/>
        <scheme val="minor"/>
      </rPr>
      <t>Post-Dated Cheques (PD), Fund Transfers, Cash, etc.</t>
    </r>
    <r>
      <rPr>
        <sz val="11"/>
        <color theme="1"/>
        <rFont val="Aptos Narrow"/>
        <family val="2"/>
        <scheme val="minor"/>
      </rPr>
      <t xml:space="preserve"> are included.</t>
    </r>
  </si>
  <si>
    <t>Filters Available:</t>
  </si>
  <si>
    <t>ADM-wise / Multiple ADM / Sub-Team / Division</t>
  </si>
  <si>
    <t>Date-wise or for a Given Period</t>
  </si>
  <si>
    <t xml:space="preserve">All collections include only realized amounts, including (fund transfers) </t>
  </si>
  <si>
    <t>Daily  Collections Tracker- DCT  ( ADM)</t>
  </si>
  <si>
    <t>Pending Bank Deposit (PBD)</t>
  </si>
  <si>
    <t>Deposit Mismatch &amp; Declined Report (DMDR)</t>
  </si>
  <si>
    <t>Days arrears</t>
  </si>
  <si>
    <t>PDCT - Post-Dated Cheques Tracker</t>
  </si>
  <si>
    <t>Returned Cheque Summary RCS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</si>
</sst>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x14ac:knownFonts="1">
    <font>
      <sz val="11"/>
      <color theme="1"/>
      <name val="Aptos Narrow"/>
      <family val="2"/>
      <scheme val="minor"/>
    </font>
    <font>
      <sz val="11"/>
      <color theme="1"/>
      <name val="Aptos Narrow"/>
      <family val="2"/>
      <scheme val="minor"/>
    </font>
    <font>
      <sz val="11"/>
      <color theme="1"/>
      <name val="Wuerth Global"/>
      <charset val="128"/>
    </font>
    <font>
      <b/>
      <sz val="11"/>
      <color theme="1"/>
      <name val="Wuerth Global"/>
      <charset val="128"/>
    </font>
    <font>
      <b/>
      <sz val="11"/>
      <color theme="1"/>
      <name val="Aptos Narrow"/>
      <family val="2"/>
      <scheme val="minor"/>
    </font>
    <font>
      <b/>
      <sz val="13.5"/>
      <color theme="1"/>
      <name val="Aptos Narrow"/>
      <family val="2"/>
      <scheme val="minor"/>
    </font>
    <font>
      <i/>
      <sz val="11"/>
      <color theme="1"/>
      <name val="Aptos Narrow"/>
      <family val="2"/>
      <scheme val="minor"/>
    </font>
    <font>
      <b/>
      <sz val="11"/>
      <color theme="1"/>
      <name val="Wuerth Book"/>
      <family val="2"/>
    </font>
    <font>
      <sz val="11"/>
      <color theme="1"/>
      <name val="Wuerth Book"/>
      <family val="2"/>
    </font>
  </fonts>
  <fills count="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s>
  <cellStyleXfs count="2">
    <xf numFmtId="0" fontId="0" fillId="0" borderId="0"/>
    <xf numFmtId="43" fontId="1" fillId="0" borderId="0" applyFont="0" applyFill="0" applyBorder="0" applyAlignment="0" applyProtection="0"/>
  </cellStyleXfs>
  <cellXfs count="44">
    <xf numFmtId="0" fontId="0" fillId="0" borderId="0" xfId="0"/>
    <xf numFmtId="0" fontId="2" fillId="0" borderId="0" xfId="0" applyFont="1"/>
    <xf numFmtId="0" fontId="2" fillId="0" borderId="0" xfId="0" applyFont="1" applyAlignment="1">
      <alignment horizontal="center"/>
    </xf>
    <xf numFmtId="0" fontId="3"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0" fillId="2" borderId="1" xfId="0" applyFill="1" applyBorder="1" applyAlignment="1">
      <alignment vertical="top"/>
    </xf>
    <xf numFmtId="0" fontId="0" fillId="0" borderId="0" xfId="0" applyAlignment="1">
      <alignment vertical="top"/>
    </xf>
    <xf numFmtId="4" fontId="0" fillId="0" borderId="0" xfId="0" applyNumberFormat="1" applyAlignment="1">
      <alignment horizontal="right" vertical="top"/>
    </xf>
    <xf numFmtId="0" fontId="0" fillId="3" borderId="1" xfId="0" applyFill="1" applyBorder="1" applyAlignment="1">
      <alignment vertical="top"/>
    </xf>
    <xf numFmtId="4" fontId="0" fillId="3" borderId="1" xfId="0" applyNumberFormat="1" applyFill="1" applyBorder="1" applyAlignment="1">
      <alignment horizontal="right" vertical="top"/>
    </xf>
    <xf numFmtId="0" fontId="0" fillId="0" borderId="1" xfId="0" applyBorder="1" applyAlignment="1">
      <alignment vertical="top"/>
    </xf>
    <xf numFmtId="4" fontId="0" fillId="0" borderId="1" xfId="0" applyNumberFormat="1" applyBorder="1" applyAlignment="1">
      <alignment horizontal="right" vertical="top"/>
    </xf>
    <xf numFmtId="43" fontId="0" fillId="0" borderId="1" xfId="1" applyFont="1" applyFill="1" applyBorder="1" applyAlignment="1">
      <alignment vertical="top"/>
    </xf>
    <xf numFmtId="4" fontId="4" fillId="4" borderId="2" xfId="0" applyNumberFormat="1" applyFont="1" applyFill="1" applyBorder="1"/>
    <xf numFmtId="0" fontId="5" fillId="0" borderId="0" xfId="0" applyFont="1" applyAlignment="1">
      <alignment vertical="center"/>
    </xf>
    <xf numFmtId="0" fontId="0" fillId="0" borderId="0" xfId="0" applyAlignment="1">
      <alignment horizontal="left" vertical="center" inden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7" fillId="0" borderId="0" xfId="0" applyFont="1"/>
    <xf numFmtId="0" fontId="8" fillId="0" borderId="0" xfId="0" applyFont="1"/>
    <xf numFmtId="0" fontId="0" fillId="0" borderId="11" xfId="0" applyBorder="1"/>
    <xf numFmtId="0" fontId="3" fillId="0" borderId="0" xfId="0" applyFont="1"/>
    <xf numFmtId="0" fontId="0" fillId="0" borderId="1" xfId="0" applyBorder="1" applyAlignment="1">
      <alignment vertical="center" wrapText="1"/>
    </xf>
    <xf numFmtId="14" fontId="0" fillId="0" borderId="1" xfId="0" applyNumberFormat="1" applyBorder="1" applyAlignment="1">
      <alignment vertical="center" wrapText="1"/>
    </xf>
    <xf numFmtId="4" fontId="0" fillId="0" borderId="1" xfId="0" applyNumberFormat="1" applyBorder="1" applyAlignment="1">
      <alignment vertical="center" wrapText="1"/>
    </xf>
    <xf numFmtId="43" fontId="2" fillId="0" borderId="1" xfId="1" applyFont="1" applyBorder="1" applyAlignment="1">
      <alignment horizontal="center" vertical="center" wrapText="1"/>
    </xf>
    <xf numFmtId="0" fontId="4" fillId="0" borderId="0" xfId="0" applyFont="1"/>
    <xf numFmtId="0" fontId="0" fillId="0" borderId="1" xfId="0" applyBorder="1"/>
    <xf numFmtId="0" fontId="3" fillId="0" borderId="3" xfId="0" applyFont="1" applyBorder="1" applyAlignment="1">
      <alignment horizontal="center" wrapText="1"/>
    </xf>
    <xf numFmtId="0" fontId="3" fillId="0" borderId="4" xfId="0" applyFont="1" applyBorder="1" applyAlignment="1">
      <alignment horizont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3" fillId="0" borderId="0" xfId="0" applyFont="1" applyAlignment="1">
      <alignment horizont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7" fillId="0" borderId="0" xfId="0" applyFont="1" applyAlignment="1">
      <alignment horizontal="center" wrapText="1"/>
    </xf>
    <xf numFmtId="0" fontId="7" fillId="0" borderId="0" xfId="0" applyFont="1" applyAlignment="1">
      <alignment horizontal="center" vertical="center" wrapText="1"/>
    </xf>
    <xf numFmtId="0" fontId="2" fillId="0" borderId="1" xfId="0" applyFont="1" applyBorder="1" applyAlignment="1">
      <alignment horizontal="center" wrapText="1"/>
    </xf>
    <xf numFmtId="0" fontId="8" fillId="0" borderId="1" xfId="0" applyFont="1" applyBorder="1" applyAlignment="1">
      <alignmen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0CB0E-F38C-4FA0-941E-3E302615C056}">
  <dimension ref="B1:F42"/>
  <sheetViews>
    <sheetView topLeftCell="A26" workbookViewId="0">
      <selection activeCell="B42" sqref="B42"/>
    </sheetView>
  </sheetViews>
  <sheetFormatPr defaultRowHeight="14.5" x14ac:dyDescent="0.35"/>
  <cols>
    <col min="3" max="3" width="21.7265625" customWidth="1"/>
    <col min="4" max="4" width="27.453125" customWidth="1"/>
    <col min="5" max="5" width="13.54296875" customWidth="1"/>
    <col min="6" max="6" width="12.6328125" customWidth="1"/>
  </cols>
  <sheetData>
    <row r="1" spans="2:6" x14ac:dyDescent="0.35">
      <c r="E1" t="s">
        <v>48</v>
      </c>
    </row>
    <row r="2" spans="2:6" x14ac:dyDescent="0.35">
      <c r="C2" t="s">
        <v>45</v>
      </c>
      <c r="D2" t="s">
        <v>42</v>
      </c>
      <c r="E2" t="s">
        <v>43</v>
      </c>
    </row>
    <row r="3" spans="2:6" x14ac:dyDescent="0.35">
      <c r="B3" s="6" t="s">
        <v>0</v>
      </c>
      <c r="C3" s="6" t="s">
        <v>1</v>
      </c>
      <c r="D3" s="6" t="s">
        <v>2</v>
      </c>
      <c r="E3" s="6" t="s">
        <v>3</v>
      </c>
      <c r="F3" s="6" t="s">
        <v>4</v>
      </c>
    </row>
    <row r="4" spans="2:6" x14ac:dyDescent="0.35">
      <c r="B4" s="7" t="s">
        <v>5</v>
      </c>
      <c r="C4" s="7" t="s">
        <v>6</v>
      </c>
      <c r="D4" s="7" t="s">
        <v>7</v>
      </c>
      <c r="E4" s="7" t="s">
        <v>8</v>
      </c>
      <c r="F4" s="8">
        <v>55970</v>
      </c>
    </row>
    <row r="5" spans="2:6" x14ac:dyDescent="0.35">
      <c r="B5" s="9" t="s">
        <v>5</v>
      </c>
      <c r="C5" s="9" t="s">
        <v>9</v>
      </c>
      <c r="D5" s="9" t="s">
        <v>9</v>
      </c>
      <c r="E5" s="9" t="s">
        <v>9</v>
      </c>
      <c r="F5" s="10">
        <v>55970</v>
      </c>
    </row>
    <row r="6" spans="2:6" x14ac:dyDescent="0.35">
      <c r="B6" s="7" t="s">
        <v>10</v>
      </c>
      <c r="C6" s="7" t="s">
        <v>11</v>
      </c>
      <c r="D6" s="7" t="s">
        <v>12</v>
      </c>
      <c r="E6" s="7" t="s">
        <v>13</v>
      </c>
      <c r="F6" s="8">
        <v>14160</v>
      </c>
    </row>
    <row r="7" spans="2:6" x14ac:dyDescent="0.35">
      <c r="B7" s="7" t="s">
        <v>10</v>
      </c>
      <c r="C7" s="7" t="s">
        <v>11</v>
      </c>
      <c r="D7" s="7" t="s">
        <v>14</v>
      </c>
      <c r="E7" s="7" t="s">
        <v>15</v>
      </c>
      <c r="F7" s="8">
        <v>5200</v>
      </c>
    </row>
    <row r="8" spans="2:6" x14ac:dyDescent="0.35">
      <c r="B8" s="7" t="s">
        <v>10</v>
      </c>
      <c r="C8" s="7" t="s">
        <v>11</v>
      </c>
      <c r="D8" s="7" t="s">
        <v>16</v>
      </c>
      <c r="E8" s="7" t="s">
        <v>17</v>
      </c>
      <c r="F8" s="8">
        <v>35850</v>
      </c>
    </row>
    <row r="9" spans="2:6" x14ac:dyDescent="0.35">
      <c r="B9" s="7" t="s">
        <v>10</v>
      </c>
      <c r="C9" s="7" t="s">
        <v>11</v>
      </c>
      <c r="D9" s="7" t="s">
        <v>18</v>
      </c>
      <c r="E9" s="7" t="s">
        <v>19</v>
      </c>
      <c r="F9" s="8">
        <v>46800</v>
      </c>
    </row>
    <row r="10" spans="2:6" x14ac:dyDescent="0.35">
      <c r="B10" s="7" t="s">
        <v>10</v>
      </c>
      <c r="C10" s="7" t="s">
        <v>11</v>
      </c>
      <c r="D10" s="7" t="s">
        <v>20</v>
      </c>
      <c r="E10" s="7" t="s">
        <v>21</v>
      </c>
      <c r="F10" s="8">
        <v>24600</v>
      </c>
    </row>
    <row r="11" spans="2:6" x14ac:dyDescent="0.35">
      <c r="B11" s="9" t="s">
        <v>10</v>
      </c>
      <c r="C11" s="9" t="s">
        <v>9</v>
      </c>
      <c r="D11" s="9" t="s">
        <v>9</v>
      </c>
      <c r="E11" s="9" t="s">
        <v>9</v>
      </c>
      <c r="F11" s="10">
        <f>SUM(F6:F9)</f>
        <v>102010</v>
      </c>
    </row>
    <row r="12" spans="2:6" x14ac:dyDescent="0.35">
      <c r="B12" s="7" t="s">
        <v>22</v>
      </c>
      <c r="C12" s="7" t="s">
        <v>23</v>
      </c>
      <c r="D12" s="7" t="s">
        <v>24</v>
      </c>
      <c r="E12" s="7" t="s">
        <v>25</v>
      </c>
      <c r="F12" s="8">
        <v>264960</v>
      </c>
    </row>
    <row r="13" spans="2:6" x14ac:dyDescent="0.35">
      <c r="B13" s="7" t="s">
        <v>22</v>
      </c>
      <c r="C13" s="7" t="s">
        <v>23</v>
      </c>
      <c r="D13" s="7" t="s">
        <v>26</v>
      </c>
      <c r="E13" s="7" t="s">
        <v>27</v>
      </c>
      <c r="F13" s="8">
        <v>212329</v>
      </c>
    </row>
    <row r="14" spans="2:6" x14ac:dyDescent="0.35">
      <c r="B14" s="7" t="s">
        <v>22</v>
      </c>
      <c r="C14" s="7" t="s">
        <v>23</v>
      </c>
      <c r="D14" s="7" t="s">
        <v>28</v>
      </c>
      <c r="E14" s="7" t="s">
        <v>29</v>
      </c>
      <c r="F14" s="8">
        <v>5980</v>
      </c>
    </row>
    <row r="15" spans="2:6" x14ac:dyDescent="0.35">
      <c r="B15" s="7" t="s">
        <v>22</v>
      </c>
      <c r="C15" s="7" t="s">
        <v>23</v>
      </c>
      <c r="D15" s="7" t="s">
        <v>30</v>
      </c>
      <c r="E15" s="7" t="s">
        <v>31</v>
      </c>
      <c r="F15" s="8">
        <v>3105</v>
      </c>
    </row>
    <row r="16" spans="2:6" x14ac:dyDescent="0.35">
      <c r="B16" s="7" t="s">
        <v>22</v>
      </c>
      <c r="C16" s="7" t="s">
        <v>23</v>
      </c>
      <c r="D16" s="7" t="s">
        <v>32</v>
      </c>
      <c r="E16" s="7" t="s">
        <v>33</v>
      </c>
      <c r="F16" s="8">
        <v>36800</v>
      </c>
    </row>
    <row r="17" spans="2:6" x14ac:dyDescent="0.35">
      <c r="B17" s="7" t="s">
        <v>22</v>
      </c>
      <c r="C17" s="7" t="s">
        <v>23</v>
      </c>
      <c r="D17" s="7" t="s">
        <v>34</v>
      </c>
      <c r="E17" s="7" t="s">
        <v>35</v>
      </c>
      <c r="F17" s="8">
        <v>69460</v>
      </c>
    </row>
    <row r="18" spans="2:6" x14ac:dyDescent="0.35">
      <c r="B18" s="7" t="s">
        <v>22</v>
      </c>
      <c r="C18" s="7" t="s">
        <v>23</v>
      </c>
      <c r="D18" s="7" t="s">
        <v>36</v>
      </c>
      <c r="E18" s="7" t="s">
        <v>37</v>
      </c>
      <c r="F18" s="8">
        <v>98400</v>
      </c>
    </row>
    <row r="19" spans="2:6" x14ac:dyDescent="0.35">
      <c r="B19" s="7" t="s">
        <v>22</v>
      </c>
      <c r="C19" s="7" t="s">
        <v>23</v>
      </c>
      <c r="D19" s="7" t="s">
        <v>38</v>
      </c>
      <c r="E19" s="7" t="s">
        <v>39</v>
      </c>
      <c r="F19" s="8">
        <v>86710</v>
      </c>
    </row>
    <row r="20" spans="2:6" x14ac:dyDescent="0.35">
      <c r="B20" s="7" t="s">
        <v>22</v>
      </c>
      <c r="C20" s="7" t="s">
        <v>23</v>
      </c>
      <c r="D20" s="7" t="s">
        <v>40</v>
      </c>
      <c r="E20" s="7" t="s">
        <v>41</v>
      </c>
      <c r="F20" s="8">
        <v>79350</v>
      </c>
    </row>
    <row r="21" spans="2:6" x14ac:dyDescent="0.35">
      <c r="B21" s="9" t="s">
        <v>22</v>
      </c>
      <c r="C21" s="9" t="s">
        <v>9</v>
      </c>
      <c r="D21" s="9" t="s">
        <v>9</v>
      </c>
      <c r="E21" s="9" t="s">
        <v>9</v>
      </c>
      <c r="F21" s="10">
        <f>SUM(F12:F20)</f>
        <v>857094</v>
      </c>
    </row>
    <row r="24" spans="2:6" x14ac:dyDescent="0.35">
      <c r="B24" t="s">
        <v>45</v>
      </c>
      <c r="D24" t="s">
        <v>48</v>
      </c>
    </row>
    <row r="25" spans="2:6" x14ac:dyDescent="0.35">
      <c r="B25" t="s">
        <v>47</v>
      </c>
      <c r="D25" t="s">
        <v>43</v>
      </c>
    </row>
    <row r="26" spans="2:6" x14ac:dyDescent="0.35">
      <c r="B26" s="6" t="s">
        <v>0</v>
      </c>
      <c r="C26" s="6" t="s">
        <v>1</v>
      </c>
      <c r="D26" s="6" t="s">
        <v>4</v>
      </c>
    </row>
    <row r="27" spans="2:6" x14ac:dyDescent="0.35">
      <c r="B27" s="11" t="s">
        <v>5</v>
      </c>
      <c r="C27" s="11" t="s">
        <v>6</v>
      </c>
      <c r="D27" s="12">
        <v>55970</v>
      </c>
      <c r="E27" t="s">
        <v>9</v>
      </c>
    </row>
    <row r="28" spans="2:6" x14ac:dyDescent="0.35">
      <c r="B28" s="11" t="s">
        <v>10</v>
      </c>
      <c r="C28" s="11" t="s">
        <v>11</v>
      </c>
      <c r="D28" s="13">
        <v>102010</v>
      </c>
      <c r="E28" t="s">
        <v>9</v>
      </c>
      <c r="F28">
        <f>SUM(F23:F26)</f>
        <v>0</v>
      </c>
    </row>
    <row r="29" spans="2:6" x14ac:dyDescent="0.35">
      <c r="B29" s="11" t="s">
        <v>22</v>
      </c>
      <c r="C29" s="11" t="s">
        <v>23</v>
      </c>
      <c r="D29" s="13">
        <v>857094</v>
      </c>
    </row>
    <row r="30" spans="2:6" ht="15" thickBot="1" x14ac:dyDescent="0.4">
      <c r="C30" s="7" t="s">
        <v>46</v>
      </c>
      <c r="D30" s="14">
        <f>SUM(D27:D29)</f>
        <v>1015074</v>
      </c>
    </row>
    <row r="32" spans="2:6" x14ac:dyDescent="0.35">
      <c r="B32" s="7" t="s">
        <v>50</v>
      </c>
    </row>
    <row r="33" spans="2:6" x14ac:dyDescent="0.35">
      <c r="B33" s="31" t="s">
        <v>49</v>
      </c>
      <c r="C33" s="32"/>
      <c r="D33" s="32"/>
      <c r="E33" s="32"/>
      <c r="F33" s="33"/>
    </row>
    <row r="34" spans="2:6" x14ac:dyDescent="0.35">
      <c r="B34" s="34"/>
      <c r="C34" s="35"/>
      <c r="D34" s="35"/>
      <c r="E34" s="35"/>
      <c r="F34" s="36"/>
    </row>
    <row r="35" spans="2:6" x14ac:dyDescent="0.35">
      <c r="B35" s="34"/>
      <c r="C35" s="35"/>
      <c r="D35" s="35"/>
      <c r="E35" s="35"/>
      <c r="F35" s="36"/>
    </row>
    <row r="36" spans="2:6" x14ac:dyDescent="0.35">
      <c r="B36" s="34"/>
      <c r="C36" s="35"/>
      <c r="D36" s="35"/>
      <c r="E36" s="35"/>
      <c r="F36" s="36"/>
    </row>
    <row r="37" spans="2:6" x14ac:dyDescent="0.35">
      <c r="B37" s="34"/>
      <c r="C37" s="35"/>
      <c r="D37" s="35"/>
      <c r="E37" s="35"/>
      <c r="F37" s="36"/>
    </row>
    <row r="38" spans="2:6" x14ac:dyDescent="0.35">
      <c r="B38" s="34"/>
      <c r="C38" s="35"/>
      <c r="D38" s="35"/>
      <c r="E38" s="35"/>
      <c r="F38" s="36"/>
    </row>
    <row r="39" spans="2:6" x14ac:dyDescent="0.35">
      <c r="B39" s="37"/>
      <c r="C39" s="38"/>
      <c r="D39" s="38"/>
      <c r="E39" s="38"/>
      <c r="F39" s="39"/>
    </row>
    <row r="42" spans="2:6" ht="16" x14ac:dyDescent="0.4">
      <c r="B42" s="22" t="s">
        <v>62</v>
      </c>
    </row>
  </sheetData>
  <autoFilter ref="B3:F21" xr:uid="{DA50CB0E-F38C-4FA0-941E-3E302615C056}"/>
  <mergeCells count="1">
    <mergeCell ref="B33:F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5814A-D21F-4BE6-AADA-8D3DB7015D95}">
  <sheetPr>
    <tabColor rgb="FFFFFF00"/>
  </sheetPr>
  <dimension ref="A2:H28"/>
  <sheetViews>
    <sheetView workbookViewId="0">
      <selection activeCell="B2" sqref="B2"/>
    </sheetView>
  </sheetViews>
  <sheetFormatPr defaultRowHeight="14.5" x14ac:dyDescent="0.35"/>
  <cols>
    <col min="1" max="1" width="11.54296875" customWidth="1"/>
    <col min="2" max="2" width="27.54296875" customWidth="1"/>
    <col min="3" max="4" width="13.54296875" customWidth="1"/>
    <col min="5" max="5" width="17.36328125" customWidth="1"/>
    <col min="6" max="6" width="17.453125" customWidth="1"/>
    <col min="7" max="7" width="15.36328125" customWidth="1"/>
    <col min="8" max="8" width="18.6328125" customWidth="1"/>
    <col min="9" max="9" width="16.90625" customWidth="1"/>
  </cols>
  <sheetData>
    <row r="2" spans="1:8" x14ac:dyDescent="0.35">
      <c r="B2" s="29" t="s">
        <v>128</v>
      </c>
    </row>
    <row r="5" spans="1:8" ht="17.5" x14ac:dyDescent="0.35">
      <c r="B5" s="15" t="s">
        <v>51</v>
      </c>
    </row>
    <row r="6" spans="1:8" x14ac:dyDescent="0.35">
      <c r="B6" s="16" t="s">
        <v>58</v>
      </c>
      <c r="C6" t="s">
        <v>59</v>
      </c>
      <c r="E6" t="s">
        <v>44</v>
      </c>
      <c r="F6" t="s">
        <v>60</v>
      </c>
    </row>
    <row r="7" spans="1:8" ht="72.5" x14ac:dyDescent="0.35">
      <c r="A7" s="18" t="s">
        <v>52</v>
      </c>
      <c r="B7" s="18" t="s">
        <v>53</v>
      </c>
      <c r="C7" s="18" t="s">
        <v>2</v>
      </c>
      <c r="D7" s="18" t="s">
        <v>65</v>
      </c>
      <c r="E7" s="18" t="s">
        <v>54</v>
      </c>
      <c r="F7" s="18" t="s">
        <v>57</v>
      </c>
      <c r="G7" s="17" t="s">
        <v>55</v>
      </c>
      <c r="H7" s="18" t="s">
        <v>56</v>
      </c>
    </row>
    <row r="8" spans="1:8" x14ac:dyDescent="0.35">
      <c r="A8" s="19"/>
      <c r="B8" s="19"/>
      <c r="C8" s="19"/>
      <c r="D8" s="19"/>
      <c r="E8" s="19"/>
      <c r="F8" s="19"/>
      <c r="G8" s="19"/>
      <c r="H8" s="19"/>
    </row>
    <row r="9" spans="1:8" x14ac:dyDescent="0.35">
      <c r="A9" s="20"/>
      <c r="B9" s="19"/>
      <c r="C9" s="19"/>
      <c r="D9" s="19"/>
      <c r="E9" s="19"/>
      <c r="F9" s="19"/>
      <c r="G9" s="19"/>
      <c r="H9" s="19"/>
    </row>
    <row r="10" spans="1:8" x14ac:dyDescent="0.35">
      <c r="A10" s="19"/>
      <c r="B10" s="19"/>
      <c r="C10" s="19"/>
      <c r="D10" s="19"/>
      <c r="E10" s="19"/>
      <c r="F10" s="19"/>
      <c r="G10" s="19"/>
      <c r="H10" s="19"/>
    </row>
    <row r="11" spans="1:8" x14ac:dyDescent="0.35">
      <c r="A11" s="20"/>
      <c r="B11" s="19"/>
      <c r="C11" s="19"/>
      <c r="D11" s="19"/>
      <c r="E11" s="19"/>
      <c r="F11" s="19"/>
      <c r="G11" s="19"/>
      <c r="H11" s="19"/>
    </row>
    <row r="12" spans="1:8" ht="15" thickBot="1" x14ac:dyDescent="0.4">
      <c r="G12" t="s">
        <v>46</v>
      </c>
      <c r="H12" s="23"/>
    </row>
    <row r="13" spans="1:8" ht="15" thickTop="1" x14ac:dyDescent="0.35">
      <c r="B13" s="16"/>
    </row>
    <row r="14" spans="1:8" x14ac:dyDescent="0.35">
      <c r="B14" s="40" t="s">
        <v>61</v>
      </c>
      <c r="C14" s="40"/>
      <c r="D14" s="40"/>
      <c r="E14" s="40"/>
      <c r="F14" s="40"/>
      <c r="G14" s="40"/>
      <c r="H14" s="40"/>
    </row>
    <row r="15" spans="1:8" ht="16" x14ac:dyDescent="0.4">
      <c r="A15" s="22"/>
      <c r="B15" s="40"/>
      <c r="C15" s="40"/>
      <c r="D15" s="40"/>
      <c r="E15" s="40"/>
      <c r="F15" s="40"/>
      <c r="G15" s="40"/>
      <c r="H15" s="40"/>
    </row>
    <row r="16" spans="1:8" x14ac:dyDescent="0.35">
      <c r="B16" s="40"/>
      <c r="C16" s="40"/>
      <c r="D16" s="40"/>
      <c r="E16" s="40"/>
      <c r="F16" s="40"/>
      <c r="G16" s="40"/>
      <c r="H16" s="40"/>
    </row>
    <row r="17" spans="2:8" x14ac:dyDescent="0.35">
      <c r="B17" s="40"/>
      <c r="C17" s="40"/>
      <c r="D17" s="40"/>
      <c r="E17" s="40"/>
      <c r="F17" s="40"/>
      <c r="G17" s="40"/>
      <c r="H17" s="40"/>
    </row>
    <row r="18" spans="2:8" x14ac:dyDescent="0.35">
      <c r="B18" s="40"/>
      <c r="C18" s="40"/>
      <c r="D18" s="40"/>
      <c r="E18" s="40"/>
      <c r="F18" s="40"/>
      <c r="G18" s="40"/>
      <c r="H18" s="40"/>
    </row>
    <row r="19" spans="2:8" x14ac:dyDescent="0.35">
      <c r="B19" s="40"/>
      <c r="C19" s="40"/>
      <c r="D19" s="40"/>
      <c r="E19" s="40"/>
      <c r="F19" s="40"/>
      <c r="G19" s="40"/>
      <c r="H19" s="40"/>
    </row>
    <row r="23" spans="2:8" ht="14.5" customHeight="1" x14ac:dyDescent="0.4">
      <c r="B23" s="22" t="s">
        <v>62</v>
      </c>
      <c r="C23" s="21"/>
      <c r="D23" s="21"/>
      <c r="E23" s="21"/>
      <c r="F23" s="21"/>
      <c r="G23" s="21"/>
      <c r="H23" s="21"/>
    </row>
    <row r="24" spans="2:8" ht="14.5" customHeight="1" x14ac:dyDescent="0.4">
      <c r="B24" s="21"/>
      <c r="C24" s="21"/>
      <c r="D24" s="21"/>
      <c r="E24" s="21"/>
      <c r="F24" s="21"/>
      <c r="G24" s="21"/>
      <c r="H24" s="21"/>
    </row>
    <row r="25" spans="2:8" ht="14.5" customHeight="1" x14ac:dyDescent="0.4">
      <c r="B25" s="21"/>
      <c r="C25" s="21"/>
      <c r="D25" s="21"/>
      <c r="E25" s="21"/>
      <c r="F25" s="21"/>
      <c r="G25" s="21"/>
      <c r="H25" s="21"/>
    </row>
    <row r="26" spans="2:8" ht="14.5" customHeight="1" x14ac:dyDescent="0.4">
      <c r="B26" s="21"/>
      <c r="C26" s="21"/>
      <c r="D26" s="21"/>
      <c r="E26" s="21"/>
      <c r="F26" s="21"/>
      <c r="G26" s="21"/>
      <c r="H26" s="21"/>
    </row>
    <row r="27" spans="2:8" ht="14.5" customHeight="1" x14ac:dyDescent="0.4">
      <c r="B27" s="21"/>
      <c r="C27" s="21"/>
      <c r="D27" s="21"/>
      <c r="E27" s="21"/>
      <c r="F27" s="21"/>
      <c r="G27" s="21"/>
      <c r="H27" s="21"/>
    </row>
    <row r="28" spans="2:8" ht="14.5" customHeight="1" x14ac:dyDescent="0.4">
      <c r="B28" s="21"/>
      <c r="C28" s="21"/>
      <c r="D28" s="21"/>
      <c r="E28" s="21"/>
      <c r="F28" s="21"/>
      <c r="G28" s="21"/>
      <c r="H28" s="21"/>
    </row>
  </sheetData>
  <mergeCells count="1">
    <mergeCell ref="B14:H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65DB6-555D-4BFB-94D7-ACFB54D4D4B5}">
  <dimension ref="B2:J29"/>
  <sheetViews>
    <sheetView tabSelected="1" workbookViewId="0">
      <selection activeCell="C3" sqref="C3"/>
    </sheetView>
  </sheetViews>
  <sheetFormatPr defaultRowHeight="14.5" x14ac:dyDescent="0.35"/>
  <cols>
    <col min="2" max="2" width="15" customWidth="1"/>
    <col min="3" max="3" width="18.6328125" customWidth="1"/>
    <col min="4" max="4" width="23.26953125" customWidth="1"/>
    <col min="5" max="5" width="18.26953125" customWidth="1"/>
    <col min="6" max="6" width="15.36328125" customWidth="1"/>
    <col min="7" max="7" width="25.08984375" customWidth="1"/>
    <col min="8" max="8" width="21.26953125" customWidth="1"/>
    <col min="9" max="9" width="20.54296875" customWidth="1"/>
    <col min="10" max="10" width="7" customWidth="1"/>
  </cols>
  <sheetData>
    <row r="2" spans="2:10" ht="16" x14ac:dyDescent="0.35">
      <c r="C2" s="43" t="s">
        <v>129</v>
      </c>
    </row>
    <row r="5" spans="2:10" ht="17.5" x14ac:dyDescent="0.35">
      <c r="C5" s="15" t="s">
        <v>51</v>
      </c>
    </row>
    <row r="6" spans="2:10" x14ac:dyDescent="0.35">
      <c r="C6" s="16" t="s">
        <v>58</v>
      </c>
      <c r="D6" t="s">
        <v>59</v>
      </c>
      <c r="E6" t="s">
        <v>44</v>
      </c>
      <c r="F6" t="s">
        <v>60</v>
      </c>
    </row>
    <row r="7" spans="2:10" ht="43.5" x14ac:dyDescent="0.35">
      <c r="B7" s="18" t="s">
        <v>52</v>
      </c>
      <c r="C7" s="18" t="s">
        <v>53</v>
      </c>
      <c r="D7" s="18" t="s">
        <v>2</v>
      </c>
      <c r="E7" s="18" t="s">
        <v>54</v>
      </c>
      <c r="F7" s="18" t="s">
        <v>57</v>
      </c>
      <c r="G7" s="17" t="s">
        <v>63</v>
      </c>
      <c r="H7" s="18" t="s">
        <v>56</v>
      </c>
      <c r="I7" s="18" t="s">
        <v>64</v>
      </c>
      <c r="J7" s="17" t="s">
        <v>127</v>
      </c>
    </row>
    <row r="8" spans="2:10" x14ac:dyDescent="0.35">
      <c r="B8" s="19"/>
      <c r="C8" s="19"/>
      <c r="D8" s="19"/>
      <c r="E8" s="19"/>
      <c r="F8" s="19"/>
      <c r="G8" s="19"/>
      <c r="H8" s="19"/>
      <c r="I8" s="19"/>
      <c r="J8" s="30"/>
    </row>
    <row r="9" spans="2:10" x14ac:dyDescent="0.35">
      <c r="B9" s="20"/>
      <c r="C9" s="19"/>
      <c r="D9" s="19"/>
      <c r="E9" s="19"/>
      <c r="F9" s="19"/>
      <c r="G9" s="19"/>
      <c r="H9" s="19"/>
      <c r="I9" s="19"/>
      <c r="J9" s="30"/>
    </row>
    <row r="10" spans="2:10" x14ac:dyDescent="0.35">
      <c r="B10" s="19"/>
      <c r="C10" s="19"/>
      <c r="D10" s="19"/>
      <c r="E10" s="19"/>
      <c r="F10" s="19"/>
      <c r="G10" s="19"/>
      <c r="H10" s="19"/>
      <c r="I10" s="19"/>
      <c r="J10" s="30"/>
    </row>
    <row r="11" spans="2:10" x14ac:dyDescent="0.35">
      <c r="B11" s="20"/>
      <c r="C11" s="19"/>
      <c r="D11" s="19"/>
      <c r="E11" s="19"/>
      <c r="F11" s="19"/>
      <c r="G11" s="19"/>
      <c r="H11" s="19"/>
      <c r="I11" s="19"/>
      <c r="J11" s="30"/>
    </row>
    <row r="12" spans="2:10" ht="15" thickBot="1" x14ac:dyDescent="0.4">
      <c r="G12" t="s">
        <v>46</v>
      </c>
      <c r="H12" s="23"/>
    </row>
    <row r="13" spans="2:10" ht="15" thickTop="1" x14ac:dyDescent="0.35">
      <c r="C13" s="16"/>
    </row>
    <row r="14" spans="2:10" x14ac:dyDescent="0.35">
      <c r="C14" s="40" t="s">
        <v>61</v>
      </c>
      <c r="D14" s="40"/>
      <c r="E14" s="40"/>
      <c r="F14" s="40"/>
      <c r="G14" s="40"/>
      <c r="H14" s="40"/>
    </row>
    <row r="15" spans="2:10" x14ac:dyDescent="0.35">
      <c r="C15" s="40"/>
      <c r="D15" s="40"/>
      <c r="E15" s="40"/>
      <c r="F15" s="40"/>
      <c r="G15" s="40"/>
      <c r="H15" s="40"/>
    </row>
    <row r="16" spans="2:10" x14ac:dyDescent="0.35">
      <c r="C16" s="40"/>
      <c r="D16" s="40"/>
      <c r="E16" s="40"/>
      <c r="F16" s="40"/>
      <c r="G16" s="40"/>
      <c r="H16" s="40"/>
    </row>
    <row r="17" spans="3:8" x14ac:dyDescent="0.35">
      <c r="C17" s="40"/>
      <c r="D17" s="40"/>
      <c r="E17" s="40"/>
      <c r="F17" s="40"/>
      <c r="G17" s="40"/>
      <c r="H17" s="40"/>
    </row>
    <row r="18" spans="3:8" x14ac:dyDescent="0.35">
      <c r="C18" s="40"/>
      <c r="D18" s="40"/>
      <c r="E18" s="40"/>
      <c r="F18" s="40"/>
      <c r="G18" s="40"/>
      <c r="H18" s="40"/>
    </row>
    <row r="19" spans="3:8" x14ac:dyDescent="0.35">
      <c r="C19" s="40"/>
      <c r="D19" s="40"/>
      <c r="E19" s="40"/>
      <c r="F19" s="40"/>
      <c r="G19" s="40"/>
      <c r="H19" s="40"/>
    </row>
    <row r="22" spans="3:8" x14ac:dyDescent="0.35">
      <c r="C22" s="41" t="s">
        <v>111</v>
      </c>
      <c r="D22" s="41"/>
      <c r="E22" s="41"/>
      <c r="F22" s="41"/>
      <c r="G22" s="41"/>
      <c r="H22" s="41"/>
    </row>
    <row r="23" spans="3:8" x14ac:dyDescent="0.35">
      <c r="C23" s="41"/>
      <c r="D23" s="41"/>
      <c r="E23" s="41"/>
      <c r="F23" s="41"/>
      <c r="G23" s="41"/>
      <c r="H23" s="41"/>
    </row>
    <row r="24" spans="3:8" x14ac:dyDescent="0.35">
      <c r="C24" s="41"/>
      <c r="D24" s="41"/>
      <c r="E24" s="41"/>
      <c r="F24" s="41"/>
      <c r="G24" s="41"/>
      <c r="H24" s="41"/>
    </row>
    <row r="25" spans="3:8" x14ac:dyDescent="0.35">
      <c r="C25" s="41"/>
      <c r="D25" s="41"/>
      <c r="E25" s="41"/>
      <c r="F25" s="41"/>
      <c r="G25" s="41"/>
      <c r="H25" s="41"/>
    </row>
    <row r="26" spans="3:8" x14ac:dyDescent="0.35">
      <c r="C26" s="41"/>
      <c r="D26" s="41"/>
      <c r="E26" s="41"/>
      <c r="F26" s="41"/>
      <c r="G26" s="41"/>
      <c r="H26" s="41"/>
    </row>
    <row r="27" spans="3:8" ht="8" customHeight="1" x14ac:dyDescent="0.35">
      <c r="C27" s="41"/>
      <c r="D27" s="41"/>
      <c r="E27" s="41"/>
      <c r="F27" s="41"/>
      <c r="G27" s="41"/>
      <c r="H27" s="41"/>
    </row>
    <row r="29" spans="3:8" ht="16" x14ac:dyDescent="0.4">
      <c r="C29" s="22" t="s">
        <v>62</v>
      </c>
    </row>
  </sheetData>
  <mergeCells count="2">
    <mergeCell ref="C14:H19"/>
    <mergeCell ref="C22:H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2A34-89A8-4768-A4C2-04C40D03C653}">
  <sheetPr>
    <tabColor theme="6" tint="0.79998168889431442"/>
  </sheetPr>
  <dimension ref="B2:M17"/>
  <sheetViews>
    <sheetView workbookViewId="0">
      <selection activeCell="C8" sqref="C8"/>
    </sheetView>
  </sheetViews>
  <sheetFormatPr defaultRowHeight="14.5" x14ac:dyDescent="0.35"/>
  <cols>
    <col min="2" max="2" width="10" customWidth="1"/>
    <col min="3" max="3" width="14" customWidth="1"/>
    <col min="4" max="4" width="12.90625" customWidth="1"/>
    <col min="5" max="5" width="16" customWidth="1"/>
    <col min="6" max="6" width="15.54296875" customWidth="1"/>
    <col min="7" max="7" width="13.36328125" customWidth="1"/>
    <col min="8" max="8" width="13.90625" customWidth="1"/>
    <col min="9" max="9" width="11.81640625" customWidth="1"/>
    <col min="10" max="10" width="13.81640625" customWidth="1"/>
    <col min="11" max="11" width="11.6328125" customWidth="1"/>
    <col min="12" max="12" width="11.08984375" customWidth="1"/>
    <col min="13" max="13" width="11.36328125" customWidth="1"/>
  </cols>
  <sheetData>
    <row r="2" spans="2:13" ht="14.5" customHeight="1" x14ac:dyDescent="0.35">
      <c r="B2" t="s">
        <v>125</v>
      </c>
      <c r="C2" s="24"/>
    </row>
    <row r="3" spans="2:13" x14ac:dyDescent="0.35">
      <c r="B3" t="s">
        <v>91</v>
      </c>
    </row>
    <row r="4" spans="2:13" ht="58" x14ac:dyDescent="0.35">
      <c r="B4" s="17" t="s">
        <v>66</v>
      </c>
      <c r="C4" s="17" t="s">
        <v>53</v>
      </c>
      <c r="D4" s="17" t="s">
        <v>67</v>
      </c>
      <c r="E4" s="17" t="s">
        <v>2</v>
      </c>
      <c r="F4" s="17" t="s">
        <v>68</v>
      </c>
      <c r="G4" s="17" t="s">
        <v>69</v>
      </c>
      <c r="H4" s="17" t="s">
        <v>70</v>
      </c>
      <c r="I4" s="17" t="s">
        <v>71</v>
      </c>
      <c r="J4" s="17" t="s">
        <v>72</v>
      </c>
      <c r="K4" s="17" t="s">
        <v>73</v>
      </c>
      <c r="L4" s="17" t="s">
        <v>74</v>
      </c>
      <c r="M4" s="17" t="s">
        <v>75</v>
      </c>
    </row>
    <row r="5" spans="2:13" ht="29" x14ac:dyDescent="0.35">
      <c r="B5" s="25">
        <v>400</v>
      </c>
      <c r="C5" s="25" t="s">
        <v>76</v>
      </c>
      <c r="D5" s="25">
        <v>19000001</v>
      </c>
      <c r="E5" s="25" t="s">
        <v>77</v>
      </c>
      <c r="F5" s="25" t="s">
        <v>78</v>
      </c>
      <c r="G5" s="25">
        <v>452367</v>
      </c>
      <c r="H5" s="26">
        <v>46002</v>
      </c>
      <c r="I5" s="27">
        <v>45000</v>
      </c>
      <c r="J5" s="26">
        <v>46002</v>
      </c>
      <c r="K5" s="25" t="s">
        <v>79</v>
      </c>
      <c r="L5" s="25" t="s">
        <v>80</v>
      </c>
      <c r="M5" s="25" t="s">
        <v>81</v>
      </c>
    </row>
    <row r="6" spans="2:13" ht="29" x14ac:dyDescent="0.35">
      <c r="B6" s="25">
        <v>452</v>
      </c>
      <c r="C6" s="25" t="s">
        <v>82</v>
      </c>
      <c r="D6" s="25">
        <v>19000005</v>
      </c>
      <c r="E6" s="25" t="s">
        <v>83</v>
      </c>
      <c r="F6" s="25" t="s">
        <v>84</v>
      </c>
      <c r="G6" s="25" t="s">
        <v>79</v>
      </c>
      <c r="H6" s="25" t="s">
        <v>79</v>
      </c>
      <c r="I6" s="27">
        <v>12500</v>
      </c>
      <c r="J6" s="26">
        <v>45941</v>
      </c>
      <c r="K6" s="25" t="s">
        <v>79</v>
      </c>
      <c r="L6" s="25" t="s">
        <v>85</v>
      </c>
      <c r="M6" s="25" t="s">
        <v>86</v>
      </c>
    </row>
    <row r="7" spans="2:13" ht="43.5" x14ac:dyDescent="0.35">
      <c r="B7" s="25">
        <v>488</v>
      </c>
      <c r="C7" s="25" t="s">
        <v>87</v>
      </c>
      <c r="D7" s="25">
        <v>190000670</v>
      </c>
      <c r="E7" s="25" t="s">
        <v>88</v>
      </c>
      <c r="F7" s="25" t="s">
        <v>78</v>
      </c>
      <c r="G7" s="25">
        <v>998745</v>
      </c>
      <c r="H7" s="26">
        <v>45972</v>
      </c>
      <c r="I7" s="27">
        <v>32750</v>
      </c>
      <c r="J7" s="26">
        <v>45972</v>
      </c>
      <c r="K7" s="25" t="s">
        <v>79</v>
      </c>
      <c r="L7" s="25" t="s">
        <v>89</v>
      </c>
      <c r="M7" s="25" t="s">
        <v>90</v>
      </c>
    </row>
    <row r="11" spans="2:13" x14ac:dyDescent="0.35">
      <c r="B11" s="42" t="s">
        <v>92</v>
      </c>
      <c r="C11" s="42"/>
      <c r="D11" s="42"/>
      <c r="E11" s="42"/>
      <c r="F11" s="42"/>
      <c r="G11" s="42"/>
      <c r="H11" s="42"/>
    </row>
    <row r="12" spans="2:13" x14ac:dyDescent="0.35">
      <c r="B12" s="42"/>
      <c r="C12" s="42"/>
      <c r="D12" s="42"/>
      <c r="E12" s="42"/>
      <c r="F12" s="42"/>
      <c r="G12" s="42"/>
      <c r="H12" s="42"/>
    </row>
    <row r="13" spans="2:13" x14ac:dyDescent="0.35">
      <c r="B13" s="42"/>
      <c r="C13" s="42"/>
      <c r="D13" s="42"/>
      <c r="E13" s="42"/>
      <c r="F13" s="42"/>
      <c r="G13" s="42"/>
      <c r="H13" s="42"/>
    </row>
    <row r="14" spans="2:13" x14ac:dyDescent="0.35">
      <c r="B14" s="42"/>
      <c r="C14" s="42"/>
      <c r="D14" s="42"/>
      <c r="E14" s="42"/>
      <c r="F14" s="42"/>
      <c r="G14" s="42"/>
      <c r="H14" s="42"/>
    </row>
    <row r="15" spans="2:13" x14ac:dyDescent="0.35">
      <c r="B15" s="42"/>
      <c r="C15" s="42"/>
      <c r="D15" s="42"/>
      <c r="E15" s="42"/>
      <c r="F15" s="42"/>
      <c r="G15" s="42"/>
      <c r="H15" s="42"/>
    </row>
    <row r="17" spans="2:2" ht="16" x14ac:dyDescent="0.4">
      <c r="B17" s="22" t="s">
        <v>62</v>
      </c>
    </row>
  </sheetData>
  <mergeCells count="1">
    <mergeCell ref="B11:H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BFA23-FB64-46F6-8BE7-375A49DB80E5}">
  <sheetPr>
    <tabColor theme="8" tint="0.79998168889431442"/>
  </sheetPr>
  <dimension ref="B3:M8"/>
  <sheetViews>
    <sheetView workbookViewId="0">
      <selection activeCell="E7" sqref="E7"/>
    </sheetView>
  </sheetViews>
  <sheetFormatPr defaultRowHeight="14.5" x14ac:dyDescent="0.35"/>
  <cols>
    <col min="5" max="5" width="15.54296875" customWidth="1"/>
    <col min="8" max="8" width="15.81640625" customWidth="1"/>
    <col min="10" max="10" width="20.54296875" customWidth="1"/>
    <col min="13" max="13" width="18.81640625" customWidth="1"/>
  </cols>
  <sheetData>
    <row r="3" spans="2:13" x14ac:dyDescent="0.35">
      <c r="C3" t="s">
        <v>126</v>
      </c>
    </row>
    <row r="4" spans="2:13" x14ac:dyDescent="0.35">
      <c r="B4" t="s">
        <v>91</v>
      </c>
    </row>
    <row r="5" spans="2:13" ht="58" x14ac:dyDescent="0.35">
      <c r="B5" s="17" t="s">
        <v>66</v>
      </c>
      <c r="C5" s="17" t="s">
        <v>53</v>
      </c>
      <c r="D5" s="17" t="s">
        <v>67</v>
      </c>
      <c r="E5" s="17" t="s">
        <v>2</v>
      </c>
      <c r="F5" s="17" t="s">
        <v>68</v>
      </c>
      <c r="G5" s="17" t="s">
        <v>69</v>
      </c>
      <c r="H5" s="17" t="s">
        <v>70</v>
      </c>
      <c r="I5" s="17" t="s">
        <v>71</v>
      </c>
      <c r="J5" s="17" t="s">
        <v>72</v>
      </c>
      <c r="K5" s="17" t="s">
        <v>73</v>
      </c>
      <c r="L5" s="17" t="s">
        <v>74</v>
      </c>
      <c r="M5" s="17" t="s">
        <v>112</v>
      </c>
    </row>
    <row r="6" spans="2:13" ht="29" x14ac:dyDescent="0.35">
      <c r="B6" s="25">
        <v>400</v>
      </c>
      <c r="C6" s="25" t="s">
        <v>76</v>
      </c>
      <c r="D6" s="25">
        <v>19000001</v>
      </c>
      <c r="E6" s="25" t="s">
        <v>77</v>
      </c>
      <c r="F6" s="25" t="s">
        <v>78</v>
      </c>
      <c r="G6" s="25">
        <v>452367</v>
      </c>
      <c r="H6" s="26">
        <v>46002</v>
      </c>
      <c r="I6" s="27">
        <v>45000</v>
      </c>
      <c r="J6" s="26">
        <v>46002</v>
      </c>
      <c r="K6" s="25" t="s">
        <v>79</v>
      </c>
      <c r="L6" s="25" t="s">
        <v>80</v>
      </c>
      <c r="M6" s="25" t="s">
        <v>113</v>
      </c>
    </row>
    <row r="7" spans="2:13" ht="29" x14ac:dyDescent="0.35">
      <c r="B7" s="25">
        <v>452</v>
      </c>
      <c r="C7" s="25" t="s">
        <v>82</v>
      </c>
      <c r="D7" s="25">
        <v>19000005</v>
      </c>
      <c r="E7" s="25" t="s">
        <v>83</v>
      </c>
      <c r="F7" s="25" t="s">
        <v>84</v>
      </c>
      <c r="G7" s="25" t="s">
        <v>79</v>
      </c>
      <c r="H7" s="25" t="s">
        <v>79</v>
      </c>
      <c r="I7" s="27">
        <v>12500</v>
      </c>
      <c r="J7" s="26">
        <v>45941</v>
      </c>
      <c r="K7" s="25" t="s">
        <v>79</v>
      </c>
      <c r="L7" s="25" t="s">
        <v>85</v>
      </c>
      <c r="M7" s="25" t="s">
        <v>114</v>
      </c>
    </row>
    <row r="8" spans="2:13" x14ac:dyDescent="0.35">
      <c r="B8" s="25">
        <v>488</v>
      </c>
      <c r="C8" s="25" t="s">
        <v>87</v>
      </c>
      <c r="D8" s="25">
        <v>190000670</v>
      </c>
      <c r="E8" s="25" t="s">
        <v>88</v>
      </c>
      <c r="F8" s="25" t="s">
        <v>78</v>
      </c>
      <c r="G8" s="25">
        <v>998745</v>
      </c>
      <c r="H8" s="26">
        <v>45972</v>
      </c>
      <c r="I8" s="27">
        <v>32750</v>
      </c>
      <c r="J8" s="26">
        <v>45972</v>
      </c>
      <c r="K8" s="25" t="s">
        <v>79</v>
      </c>
      <c r="L8" s="25" t="s">
        <v>89</v>
      </c>
      <c r="M8" s="25" t="s">
        <v>115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39A1-B61F-4175-913D-3CEE76ABD22C}">
  <sheetPr>
    <tabColor theme="3" tint="0.749992370372631"/>
  </sheetPr>
  <dimension ref="A2:O26"/>
  <sheetViews>
    <sheetView topLeftCell="A9" workbookViewId="0">
      <selection activeCell="E22" sqref="E22"/>
    </sheetView>
  </sheetViews>
  <sheetFormatPr defaultRowHeight="14" x14ac:dyDescent="0.3"/>
  <cols>
    <col min="1" max="1" width="8.7265625" style="1"/>
    <col min="2" max="2" width="12.1796875" style="1" customWidth="1"/>
    <col min="3" max="3" width="12.90625" style="1" customWidth="1"/>
    <col min="4" max="13" width="8.7265625" style="2"/>
    <col min="14" max="14" width="8.7265625" style="1"/>
    <col min="15" max="15" width="11.7265625" style="2" customWidth="1"/>
    <col min="16" max="16384" width="8.7265625" style="1"/>
  </cols>
  <sheetData>
    <row r="2" spans="1:15" x14ac:dyDescent="0.3">
      <c r="B2" s="1" t="s">
        <v>110</v>
      </c>
    </row>
    <row r="3" spans="1:15" x14ac:dyDescent="0.3">
      <c r="B3" s="1" t="s">
        <v>58</v>
      </c>
      <c r="M3" s="2" t="s">
        <v>91</v>
      </c>
    </row>
    <row r="4" spans="1:15" ht="14.5" x14ac:dyDescent="0.3">
      <c r="A4" s="1">
        <v>1</v>
      </c>
      <c r="B4" s="3" t="s">
        <v>66</v>
      </c>
      <c r="C4" s="3" t="s">
        <v>53</v>
      </c>
      <c r="D4" s="3" t="s">
        <v>93</v>
      </c>
      <c r="E4" s="3" t="s">
        <v>94</v>
      </c>
      <c r="F4" s="3" t="s">
        <v>95</v>
      </c>
      <c r="G4" s="3" t="s">
        <v>96</v>
      </c>
      <c r="H4" s="3" t="s">
        <v>97</v>
      </c>
      <c r="I4" s="3" t="s">
        <v>98</v>
      </c>
      <c r="J4" s="3" t="s">
        <v>99</v>
      </c>
      <c r="K4" s="3" t="s">
        <v>100</v>
      </c>
      <c r="L4" s="3" t="s">
        <v>101</v>
      </c>
      <c r="M4" s="3" t="s">
        <v>102</v>
      </c>
      <c r="N4" s="3" t="s">
        <v>103</v>
      </c>
      <c r="O4" s="3" t="s">
        <v>117</v>
      </c>
    </row>
    <row r="5" spans="1:15" x14ac:dyDescent="0.3">
      <c r="B5" s="4">
        <v>855</v>
      </c>
      <c r="C5" s="4" t="s">
        <v>104</v>
      </c>
      <c r="D5" s="5" t="s">
        <v>105</v>
      </c>
      <c r="E5" s="5" t="s">
        <v>106</v>
      </c>
      <c r="F5" s="5" t="s">
        <v>105</v>
      </c>
      <c r="G5" s="5" t="s">
        <v>106</v>
      </c>
      <c r="H5" s="5" t="s">
        <v>105</v>
      </c>
      <c r="I5" s="5" t="s">
        <v>105</v>
      </c>
      <c r="J5" s="5" t="s">
        <v>106</v>
      </c>
      <c r="K5" s="5" t="s">
        <v>105</v>
      </c>
      <c r="L5" s="5" t="s">
        <v>105</v>
      </c>
      <c r="M5" s="5" t="s">
        <v>106</v>
      </c>
      <c r="N5" s="4" t="s">
        <v>103</v>
      </c>
      <c r="O5" s="5">
        <v>4</v>
      </c>
    </row>
    <row r="6" spans="1:15" x14ac:dyDescent="0.3">
      <c r="B6" s="4">
        <v>250</v>
      </c>
      <c r="C6" s="4" t="s">
        <v>107</v>
      </c>
      <c r="D6" s="5" t="s">
        <v>106</v>
      </c>
      <c r="E6" s="5" t="s">
        <v>106</v>
      </c>
      <c r="F6" s="5" t="s">
        <v>105</v>
      </c>
      <c r="G6" s="5" t="s">
        <v>105</v>
      </c>
      <c r="H6" s="5" t="s">
        <v>106</v>
      </c>
      <c r="I6" s="5" t="s">
        <v>105</v>
      </c>
      <c r="J6" s="5" t="s">
        <v>105</v>
      </c>
      <c r="K6" s="5" t="s">
        <v>105</v>
      </c>
      <c r="L6" s="5" t="s">
        <v>106</v>
      </c>
      <c r="M6" s="5" t="s">
        <v>105</v>
      </c>
      <c r="N6" s="4" t="s">
        <v>103</v>
      </c>
      <c r="O6" s="5">
        <v>3</v>
      </c>
    </row>
    <row r="7" spans="1:15" x14ac:dyDescent="0.3">
      <c r="B7" s="4">
        <v>650</v>
      </c>
      <c r="C7" s="4" t="s">
        <v>108</v>
      </c>
      <c r="D7" s="5" t="s">
        <v>105</v>
      </c>
      <c r="E7" s="5" t="s">
        <v>105</v>
      </c>
      <c r="F7" s="5" t="s">
        <v>105</v>
      </c>
      <c r="G7" s="5" t="s">
        <v>106</v>
      </c>
      <c r="H7" s="5" t="s">
        <v>105</v>
      </c>
      <c r="I7" s="5" t="s">
        <v>105</v>
      </c>
      <c r="J7" s="5" t="s">
        <v>105</v>
      </c>
      <c r="K7" s="5" t="s">
        <v>105</v>
      </c>
      <c r="L7" s="5" t="s">
        <v>105</v>
      </c>
      <c r="M7" s="5" t="s">
        <v>105</v>
      </c>
      <c r="N7" s="4" t="s">
        <v>103</v>
      </c>
      <c r="O7" s="5">
        <v>1</v>
      </c>
    </row>
    <row r="8" spans="1:15" x14ac:dyDescent="0.3">
      <c r="B8" s="4">
        <v>250</v>
      </c>
      <c r="C8" s="4" t="s">
        <v>109</v>
      </c>
      <c r="D8" s="5" t="s">
        <v>106</v>
      </c>
      <c r="E8" s="5" t="s">
        <v>105</v>
      </c>
      <c r="F8" s="5" t="s">
        <v>106</v>
      </c>
      <c r="G8" s="5" t="s">
        <v>105</v>
      </c>
      <c r="H8" s="5" t="s">
        <v>105</v>
      </c>
      <c r="I8" s="5" t="s">
        <v>106</v>
      </c>
      <c r="J8" s="5" t="s">
        <v>105</v>
      </c>
      <c r="K8" s="5" t="s">
        <v>105</v>
      </c>
      <c r="L8" s="5" t="s">
        <v>106</v>
      </c>
      <c r="M8" s="5" t="s">
        <v>105</v>
      </c>
      <c r="N8" s="4" t="s">
        <v>103</v>
      </c>
      <c r="O8" s="5">
        <v>4</v>
      </c>
    </row>
    <row r="12" spans="1:15" x14ac:dyDescent="0.3">
      <c r="B12" s="1" t="s">
        <v>124</v>
      </c>
    </row>
    <row r="13" spans="1:15" x14ac:dyDescent="0.3">
      <c r="B13" s="1" t="s">
        <v>58</v>
      </c>
      <c r="M13" s="2" t="s">
        <v>91</v>
      </c>
    </row>
    <row r="14" spans="1:15" ht="14.5" x14ac:dyDescent="0.3">
      <c r="B14" s="3" t="s">
        <v>66</v>
      </c>
      <c r="C14" s="3" t="s">
        <v>53</v>
      </c>
      <c r="D14" s="3" t="s">
        <v>93</v>
      </c>
      <c r="E14" s="3" t="s">
        <v>94</v>
      </c>
      <c r="F14" s="3" t="s">
        <v>95</v>
      </c>
      <c r="G14" s="3" t="s">
        <v>96</v>
      </c>
      <c r="H14" s="3" t="s">
        <v>97</v>
      </c>
      <c r="I14" s="3" t="s">
        <v>98</v>
      </c>
      <c r="J14" s="3" t="s">
        <v>99</v>
      </c>
      <c r="K14" s="3" t="s">
        <v>100</v>
      </c>
      <c r="L14" s="3" t="s">
        <v>101</v>
      </c>
      <c r="M14" s="3" t="s">
        <v>102</v>
      </c>
      <c r="N14" s="3" t="s">
        <v>103</v>
      </c>
      <c r="O14" s="3" t="s">
        <v>116</v>
      </c>
    </row>
    <row r="15" spans="1:15" x14ac:dyDescent="0.3">
      <c r="B15" s="4">
        <v>855</v>
      </c>
      <c r="C15" s="4" t="s">
        <v>104</v>
      </c>
      <c r="D15" s="5">
        <v>12000</v>
      </c>
      <c r="E15" s="5">
        <v>2500</v>
      </c>
      <c r="F15" s="5">
        <v>25000</v>
      </c>
      <c r="G15" s="5">
        <v>85000</v>
      </c>
      <c r="H15" s="5">
        <v>35000</v>
      </c>
      <c r="I15" s="5">
        <v>76500</v>
      </c>
      <c r="J15" s="5">
        <v>2500</v>
      </c>
      <c r="K15" s="5">
        <v>85000</v>
      </c>
      <c r="L15" s="5">
        <v>35000</v>
      </c>
      <c r="M15" s="5">
        <v>76500</v>
      </c>
      <c r="N15" s="5">
        <v>2500</v>
      </c>
      <c r="O15" s="28">
        <f>SUM(D15:N15)</f>
        <v>437500</v>
      </c>
    </row>
    <row r="16" spans="1:15" x14ac:dyDescent="0.3">
      <c r="B16" s="4">
        <v>250</v>
      </c>
      <c r="C16" s="4" t="s">
        <v>107</v>
      </c>
      <c r="D16" s="5"/>
      <c r="E16" s="5">
        <v>0</v>
      </c>
      <c r="F16" s="5"/>
      <c r="G16" s="5"/>
      <c r="H16" s="5"/>
      <c r="I16" s="5"/>
      <c r="J16" s="5"/>
      <c r="K16" s="5"/>
      <c r="L16" s="5"/>
      <c r="M16" s="5"/>
      <c r="N16" s="4" t="s">
        <v>103</v>
      </c>
      <c r="O16" s="5"/>
    </row>
    <row r="17" spans="1:15" x14ac:dyDescent="0.3">
      <c r="B17" s="4">
        <v>650</v>
      </c>
      <c r="C17" s="4" t="s">
        <v>108</v>
      </c>
      <c r="D17" s="5"/>
      <c r="E17" s="5"/>
      <c r="F17" s="5"/>
      <c r="G17" s="5"/>
      <c r="H17" s="5"/>
      <c r="I17" s="5"/>
      <c r="J17" s="5"/>
      <c r="K17" s="5"/>
      <c r="L17" s="5"/>
      <c r="M17" s="5"/>
      <c r="N17" s="4" t="s">
        <v>103</v>
      </c>
      <c r="O17" s="5"/>
    </row>
    <row r="18" spans="1:15" x14ac:dyDescent="0.3">
      <c r="B18" s="4">
        <v>250</v>
      </c>
      <c r="C18" s="4" t="s">
        <v>109</v>
      </c>
      <c r="D18" s="5"/>
      <c r="E18" s="5"/>
      <c r="F18" s="5"/>
      <c r="G18" s="5"/>
      <c r="H18" s="5"/>
      <c r="I18" s="5"/>
      <c r="J18" s="5"/>
      <c r="K18" s="5"/>
      <c r="L18" s="5"/>
      <c r="M18" s="5"/>
      <c r="N18" s="4" t="s">
        <v>103</v>
      </c>
      <c r="O18" s="5"/>
    </row>
    <row r="20" spans="1:15" ht="14.5" x14ac:dyDescent="0.35">
      <c r="B20" s="29" t="s">
        <v>118</v>
      </c>
    </row>
    <row r="21" spans="1:15" ht="14.5" x14ac:dyDescent="0.35">
      <c r="A21" s="1">
        <v>1</v>
      </c>
      <c r="B21" t="s">
        <v>119</v>
      </c>
    </row>
    <row r="22" spans="1:15" ht="14.5" x14ac:dyDescent="0.35">
      <c r="A22" s="1">
        <v>2</v>
      </c>
      <c r="B22" t="s">
        <v>123</v>
      </c>
    </row>
    <row r="23" spans="1:15" ht="14.5" x14ac:dyDescent="0.35">
      <c r="B23"/>
    </row>
    <row r="24" spans="1:15" ht="14.5" x14ac:dyDescent="0.35">
      <c r="B24" s="29" t="s">
        <v>120</v>
      </c>
    </row>
    <row r="25" spans="1:15" ht="14.5" x14ac:dyDescent="0.35">
      <c r="B25" t="s">
        <v>121</v>
      </c>
    </row>
    <row r="26" spans="1:15" ht="14.5" x14ac:dyDescent="0.35">
      <c r="B26" t="s">
        <v>122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3F755-88A0-4620-8BA6-DF6F6C34F5A3}">
  <dimension ref="A1"/>
  <sheetViews>
    <sheetView workbookViewId="0">
      <selection activeCell="H11" sqref="H11"/>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Collection Reports</vt:lpstr>
      <vt:lpstr>PDCT</vt:lpstr>
      <vt:lpstr>RCS</vt:lpstr>
      <vt:lpstr>PBD</vt:lpstr>
      <vt:lpstr>DMDR</vt:lpstr>
      <vt:lpstr>DCT</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Velayudhan, Ravi</dc:creator>
  <cp:lastModifiedBy>Velayudhan, Ravi</cp:lastModifiedBy>
  <dcterms:created xsi:type="dcterms:W3CDTF">2025-11-18T15:08:31Z</dcterms:created>
  <dcterms:modified xsi:type="dcterms:W3CDTF">2025-12-03T17:28:00Z</dcterms:modified>
</cp:coreProperties>
</file>